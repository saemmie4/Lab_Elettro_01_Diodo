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ibrazione" sheetId="1" state="visible" r:id="rId3"/>
    <sheet name="Diodo Si" sheetId="2" state="visible" r:id="rId4"/>
    <sheet name="Diodo 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<sst xmlns="http://schemas.openxmlformats.org/spreadsheetml/2006/main" count="400" uniqueCount="174">
  <si>
    <t xml:space="preserve">Volt da 100 a 800 mV</t>
  </si>
  <si>
    <t xml:space="preserve">TAVOLO 10</t>
  </si>
  <si>
    <t xml:space="preserve">Zero dell'oscilloscopio messo con 20 mV/div (ma comunque anche a 5 mV/div è più o meno a zero)</t>
  </si>
  <si>
    <t xml:space="preserve">NOTA: ASSUMIAMO ERRORE SU ZERO E LETTURA COME INDIPENDENTI</t>
  </si>
  <si>
    <t xml:space="preserve">errore sullo 0 fondoscala 5 mv(mv):</t>
  </si>
  <si>
    <t xml:space="preserve">errore costruttore misura osc</t>
  </si>
  <si>
    <t xml:space="preserve">errore sullo 0 fondoscala 20 mv(mv):</t>
  </si>
  <si>
    <t xml:space="preserve">mV/div </t>
  </si>
  <si>
    <t xml:space="preserve">Oscilloscopio (mv)</t>
  </si>
  <si>
    <t xml:space="preserve">Errore Oscilloscopio (zero 5mv)</t>
  </si>
  <si>
    <t xml:space="preserve">Errore Oscilloscopio (zero 20mv)</t>
  </si>
  <si>
    <t xml:space="preserve">err_rel (20 mv)</t>
  </si>
  <si>
    <t xml:space="preserve">Multimetro (lettura)</t>
  </si>
  <si>
    <t xml:space="preserve">Multimetro (mv)</t>
  </si>
  <si>
    <t xml:space="preserve">err costrutt</t>
  </si>
  <si>
    <t xml:space="preserve">err_multi senza digit</t>
  </si>
  <si>
    <t xml:space="preserve">err multi (mv)</t>
  </si>
  <si>
    <t xml:space="preserve">err_rel </t>
  </si>
  <si>
    <t xml:space="preserve">NOTA: mezza tacchetta di errore in tutti</t>
  </si>
  <si>
    <t xml:space="preserve">4.2</t>
  </si>
  <si>
    <t xml:space="preserve">mV</t>
  </si>
  <si>
    <t xml:space="preserve">9.0</t>
  </si>
  <si>
    <t xml:space="preserve">14.0</t>
  </si>
  <si>
    <t xml:space="preserve">19.0</t>
  </si>
  <si>
    <t xml:space="preserve">24.0</t>
  </si>
  <si>
    <t xml:space="preserve">29.0</t>
  </si>
  <si>
    <t xml:space="preserve">39.0</t>
  </si>
  <si>
    <t xml:space="preserve">48.8</t>
  </si>
  <si>
    <t xml:space="preserve">58.5</t>
  </si>
  <si>
    <t xml:space="preserve">77.1</t>
  </si>
  <si>
    <t xml:space="preserve">97.7</t>
  </si>
  <si>
    <t xml:space="preserve">117.2</t>
  </si>
  <si>
    <t xml:space="preserve">97.4</t>
  </si>
  <si>
    <t xml:space="preserve">misure extra messe all’inizio</t>
  </si>
  <si>
    <t xml:space="preserve">118.8</t>
  </si>
  <si>
    <t xml:space="preserve">V/div</t>
  </si>
  <si>
    <t xml:space="preserve">Oscilloscopio</t>
  </si>
  <si>
    <t xml:space="preserve">Multimetro</t>
  </si>
  <si>
    <t xml:space="preserve">139.0</t>
  </si>
  <si>
    <t xml:space="preserve">5 mV</t>
  </si>
  <si>
    <t xml:space="preserve">147.4</t>
  </si>
  <si>
    <t xml:space="preserve">159.2</t>
  </si>
  <si>
    <t xml:space="preserve">179.0</t>
  </si>
  <si>
    <t xml:space="preserve">198.1</t>
  </si>
  <si>
    <t xml:space="preserve">217.5</t>
  </si>
  <si>
    <t xml:space="preserve">10 mV</t>
  </si>
  <si>
    <t xml:space="preserve">237.3</t>
  </si>
  <si>
    <t xml:space="preserve">257.0</t>
  </si>
  <si>
    <t xml:space="preserve">276.8</t>
  </si>
  <si>
    <t xml:space="preserve">20 mV</t>
  </si>
  <si>
    <t xml:space="preserve">296.9</t>
  </si>
  <si>
    <t xml:space="preserve">336.9</t>
  </si>
  <si>
    <t xml:space="preserve">377.1</t>
  </si>
  <si>
    <t xml:space="preserve">.416</t>
  </si>
  <si>
    <t xml:space="preserve">V</t>
  </si>
  <si>
    <t xml:space="preserve">.456</t>
  </si>
  <si>
    <t xml:space="preserve">.495</t>
  </si>
  <si>
    <t xml:space="preserve">.535</t>
  </si>
  <si>
    <t xml:space="preserve">.575</t>
  </si>
  <si>
    <t xml:space="preserve">.596</t>
  </si>
  <si>
    <t xml:space="preserve">.637</t>
  </si>
  <si>
    <t xml:space="preserve">.676</t>
  </si>
  <si>
    <t xml:space="preserve">.715</t>
  </si>
  <si>
    <t xml:space="preserve">.755</t>
  </si>
  <si>
    <t xml:space="preserve">.796</t>
  </si>
  <si>
    <t xml:space="preserve">x</t>
  </si>
  <si>
    <t xml:space="preserve">y</t>
  </si>
  <si>
    <t xml:space="preserve">ex</t>
  </si>
  <si>
    <t xml:space="preserve">ey</t>
  </si>
  <si>
    <t xml:space="preserve">V gamma</t>
  </si>
  <si>
    <t xml:space="preserve">Si = 550 mV</t>
  </si>
  <si>
    <t xml:space="preserve">Errore sullo zero dell'oscilloscopio fatto con 5 mV/div ed è mezza tacchetta</t>
  </si>
  <si>
    <t xml:space="preserve">Ge = 150 mV</t>
  </si>
  <si>
    <t xml:space="preserve">4, 40, 400 mA</t>
  </si>
  <si>
    <t xml:space="preserve">mV/div</t>
  </si>
  <si>
    <t xml:space="preserve">Oscilloscopio (mV)</t>
  </si>
  <si>
    <t xml:space="preserve">err oscilloscopio (mv)</t>
  </si>
  <si>
    <t xml:space="preserve">err rel</t>
  </si>
  <si>
    <t xml:space="preserve">Scala multimetro</t>
  </si>
  <si>
    <t xml:space="preserve">0.000</t>
  </si>
  <si>
    <t xml:space="preserve">4 mA</t>
  </si>
  <si>
    <t xml:space="preserve">0.001</t>
  </si>
  <si>
    <t xml:space="preserve">0.002</t>
  </si>
  <si>
    <t xml:space="preserve">0.003</t>
  </si>
  <si>
    <t xml:space="preserve">0.004</t>
  </si>
  <si>
    <t xml:space="preserve">0.006</t>
  </si>
  <si>
    <t xml:space="preserve">0.010</t>
  </si>
  <si>
    <t xml:space="preserve">0.012</t>
  </si>
  <si>
    <t xml:space="preserve">0.015</t>
  </si>
  <si>
    <t xml:space="preserve">0.018</t>
  </si>
  <si>
    <t xml:space="preserve">0.023</t>
  </si>
  <si>
    <t xml:space="preserve">0.028</t>
  </si>
  <si>
    <t xml:space="preserve">0.035</t>
  </si>
  <si>
    <t xml:space="preserve">0.042</t>
  </si>
  <si>
    <t xml:space="preserve">0.052</t>
  </si>
  <si>
    <t xml:space="preserve">0.064</t>
  </si>
  <si>
    <t xml:space="preserve">0.078</t>
  </si>
  <si>
    <t xml:space="preserve">0.100</t>
  </si>
  <si>
    <t xml:space="preserve">0.121</t>
  </si>
  <si>
    <t xml:space="preserve">0.150</t>
  </si>
  <si>
    <t xml:space="preserve">0.189</t>
  </si>
  <si>
    <t xml:space="preserve">0.231</t>
  </si>
  <si>
    <t xml:space="preserve">0.284</t>
  </si>
  <si>
    <t xml:space="preserve">0.353</t>
  </si>
  <si>
    <t xml:space="preserve">0.444</t>
  </si>
  <si>
    <t xml:space="preserve">0.540</t>
  </si>
  <si>
    <t xml:space="preserve">0.676</t>
  </si>
  <si>
    <t xml:space="preserve">0.801</t>
  </si>
  <si>
    <t xml:space="preserve">1.000</t>
  </si>
  <si>
    <t xml:space="preserve">1.238</t>
  </si>
  <si>
    <t xml:space="preserve">1.544</t>
  </si>
  <si>
    <t xml:space="preserve">2.383</t>
  </si>
  <si>
    <t xml:space="preserve">3.414</t>
  </si>
  <si>
    <t xml:space="preserve">04.77</t>
  </si>
  <si>
    <t xml:space="preserve">40 mA</t>
  </si>
  <si>
    <t xml:space="preserve">06.42</t>
  </si>
  <si>
    <t xml:space="preserve">07.85</t>
  </si>
  <si>
    <t xml:space="preserve">09.75</t>
  </si>
  <si>
    <t xml:space="preserve">0.005</t>
  </si>
  <si>
    <t xml:space="preserve">0.007</t>
  </si>
  <si>
    <t xml:space="preserve">0.008</t>
  </si>
  <si>
    <t xml:space="preserve">0.009</t>
  </si>
  <si>
    <t xml:space="preserve">0.011</t>
  </si>
  <si>
    <t xml:space="preserve">0.014</t>
  </si>
  <si>
    <t xml:space="preserve">0.016</t>
  </si>
  <si>
    <t xml:space="preserve">0.020</t>
  </si>
  <si>
    <t xml:space="preserve">0.027</t>
  </si>
  <si>
    <t xml:space="preserve">0.030</t>
  </si>
  <si>
    <t xml:space="preserve">0.034</t>
  </si>
  <si>
    <t xml:space="preserve">0.039</t>
  </si>
  <si>
    <t xml:space="preserve">0.043</t>
  </si>
  <si>
    <t xml:space="preserve">50 mV</t>
  </si>
  <si>
    <t xml:space="preserve">0.045</t>
  </si>
  <si>
    <t xml:space="preserve">0.053</t>
  </si>
  <si>
    <t xml:space="preserve">0.058</t>
  </si>
  <si>
    <t xml:space="preserve">0.067</t>
  </si>
  <si>
    <t xml:space="preserve">0.088</t>
  </si>
  <si>
    <t xml:space="preserve">0.114</t>
  </si>
  <si>
    <t xml:space="preserve">0.130</t>
  </si>
  <si>
    <t xml:space="preserve">0.144</t>
  </si>
  <si>
    <t xml:space="preserve">0.164</t>
  </si>
  <si>
    <t xml:space="preserve">0.184</t>
  </si>
  <si>
    <t xml:space="preserve">0.204</t>
  </si>
  <si>
    <t xml:space="preserve">0.233</t>
  </si>
  <si>
    <t xml:space="preserve">0.249</t>
  </si>
  <si>
    <t xml:space="preserve">0.280</t>
  </si>
  <si>
    <t xml:space="preserve">0.316</t>
  </si>
  <si>
    <t xml:space="preserve">0.351</t>
  </si>
  <si>
    <t xml:space="preserve">0.390</t>
  </si>
  <si>
    <t xml:space="preserve">0.428</t>
  </si>
  <si>
    <t xml:space="preserve">0.480</t>
  </si>
  <si>
    <t xml:space="preserve">0.534</t>
  </si>
  <si>
    <t xml:space="preserve">0.591</t>
  </si>
  <si>
    <t xml:space="preserve">0.645</t>
  </si>
  <si>
    <t xml:space="preserve">0.720</t>
  </si>
  <si>
    <t xml:space="preserve">0.803</t>
  </si>
  <si>
    <t xml:space="preserve">0.883</t>
  </si>
  <si>
    <t xml:space="preserve">0.975</t>
  </si>
  <si>
    <t xml:space="preserve">1.082</t>
  </si>
  <si>
    <t xml:space="preserve">1.197</t>
  </si>
  <si>
    <t xml:space="preserve">1.316</t>
  </si>
  <si>
    <t xml:space="preserve">1.435</t>
  </si>
  <si>
    <t xml:space="preserve">1.608</t>
  </si>
  <si>
    <t xml:space="preserve">1.737</t>
  </si>
  <si>
    <t xml:space="preserve">1.935</t>
  </si>
  <si>
    <t xml:space="preserve">2.095</t>
  </si>
  <si>
    <t xml:space="preserve">2.316</t>
  </si>
  <si>
    <t xml:space="preserve">2.511</t>
  </si>
  <si>
    <t xml:space="preserve">2.766</t>
  </si>
  <si>
    <t xml:space="preserve">3.000</t>
  </si>
  <si>
    <t xml:space="preserve">3.256</t>
  </si>
  <si>
    <t xml:space="preserve">100 mV</t>
  </si>
  <si>
    <t xml:space="preserve">3.808</t>
  </si>
  <si>
    <t xml:space="preserve">\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</si>
</sst>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00"/>
    <numFmt numFmtId="167" formatCode="#,##0.00"/>
    <numFmt numFmtId="168" formatCode="#,##0.000"/>
    <numFmt numFmtId="169" formatCode="General"/>
    <numFmt numFmtId="170" formatCode="#,##0.0"/>
    <numFmt numFmtId="171" formatCode="#,##0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A933"/>
      </bottom>
      <diagonal/>
    </border>
    <border diagonalUp="false" diagonalDown="false">
      <left/>
      <right/>
      <top style="medium">
        <color rgb="FFFF000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Retta di calibrazione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"Retta di calibrazione"</c:f>
              <c:strCache>
                <c:ptCount val="1"/>
                <c:pt idx="0">
                  <c:v>Retta di calibrazione</c:v>
                </c:pt>
              </c:strCache>
            </c:strRef>
          </c:tx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Calibrazione!$U$22:$U$46</c:f>
              <c:numCache>
                <c:formatCode>General</c:formatCode>
                <c:ptCount val="2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180</c:v>
                </c:pt>
                <c:pt idx="6">
                  <c:v>200</c:v>
                </c:pt>
                <c:pt idx="7">
                  <c:v>220</c:v>
                </c:pt>
                <c:pt idx="8">
                  <c:v>240</c:v>
                </c:pt>
                <c:pt idx="9">
                  <c:v>260</c:v>
                </c:pt>
                <c:pt idx="10">
                  <c:v>280</c:v>
                </c:pt>
                <c:pt idx="11">
                  <c:v>300</c:v>
                </c:pt>
                <c:pt idx="12">
                  <c:v>340</c:v>
                </c:pt>
                <c:pt idx="13">
                  <c:v>380</c:v>
                </c:pt>
                <c:pt idx="14">
                  <c:v>420</c:v>
                </c:pt>
                <c:pt idx="15">
                  <c:v>460</c:v>
                </c:pt>
                <c:pt idx="16">
                  <c:v>500</c:v>
                </c:pt>
                <c:pt idx="17">
                  <c:v>540</c:v>
                </c:pt>
                <c:pt idx="18">
                  <c:v>580</c:v>
                </c:pt>
                <c:pt idx="19">
                  <c:v>600</c:v>
                </c:pt>
                <c:pt idx="20">
                  <c:v>640</c:v>
                </c:pt>
                <c:pt idx="21">
                  <c:v>680</c:v>
                </c:pt>
                <c:pt idx="22">
                  <c:v>720</c:v>
                </c:pt>
                <c:pt idx="23">
                  <c:v>760</c:v>
                </c:pt>
                <c:pt idx="24">
                  <c:v>800</c:v>
                </c:pt>
              </c:numCache>
            </c:numRef>
          </c:xVal>
          <c:yVal>
            <c:numRef>
              <c:f>Calibrazione!$I$22:$I$46</c:f>
              <c:numCache>
                <c:formatCode>General</c:formatCode>
                <c:ptCount val="25"/>
                <c:pt idx="0">
                  <c:v>97.4</c:v>
                </c:pt>
                <c:pt idx="1">
                  <c:v>118.8</c:v>
                </c:pt>
                <c:pt idx="2">
                  <c:v>139</c:v>
                </c:pt>
                <c:pt idx="3">
                  <c:v>147.4</c:v>
                </c:pt>
                <c:pt idx="4">
                  <c:v>159.2</c:v>
                </c:pt>
                <c:pt idx="5">
                  <c:v>179</c:v>
                </c:pt>
                <c:pt idx="6">
                  <c:v>198.1</c:v>
                </c:pt>
                <c:pt idx="7">
                  <c:v>217.5</c:v>
                </c:pt>
                <c:pt idx="8">
                  <c:v>237.3</c:v>
                </c:pt>
                <c:pt idx="9">
                  <c:v>257</c:v>
                </c:pt>
                <c:pt idx="10">
                  <c:v>276.8</c:v>
                </c:pt>
                <c:pt idx="11">
                  <c:v>296.9</c:v>
                </c:pt>
                <c:pt idx="12">
                  <c:v>336.9</c:v>
                </c:pt>
                <c:pt idx="13">
                  <c:v>377.1</c:v>
                </c:pt>
                <c:pt idx="14">
                  <c:v>416</c:v>
                </c:pt>
                <c:pt idx="15">
                  <c:v>456</c:v>
                </c:pt>
                <c:pt idx="16">
                  <c:v>495</c:v>
                </c:pt>
                <c:pt idx="17">
                  <c:v>535</c:v>
                </c:pt>
                <c:pt idx="18">
                  <c:v>575</c:v>
                </c:pt>
                <c:pt idx="19">
                  <c:v>596</c:v>
                </c:pt>
                <c:pt idx="20">
                  <c:v>637</c:v>
                </c:pt>
                <c:pt idx="21">
                  <c:v>676</c:v>
                </c:pt>
                <c:pt idx="22">
                  <c:v>715</c:v>
                </c:pt>
                <c:pt idx="23">
                  <c:v>755</c:v>
                </c:pt>
                <c:pt idx="24">
                  <c:v>796</c:v>
                </c:pt>
              </c:numCache>
            </c:numRef>
          </c:yVal>
          <c:smooth val="0"/>
        </c:ser>
        <c:axId val="50681782"/>
        <c:axId val="84561360"/>
      </c:scatterChart>
      <c:valAx>
        <c:axId val="5068178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4561360"/>
        <c:crosses val="autoZero"/>
        <c:crossBetween val="midCat"/>
      </c:valAx>
      <c:valAx>
        <c:axId val="845613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06817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1356840</xdr:colOff>
      <xdr:row>66</xdr:row>
      <xdr:rowOff>186480</xdr:rowOff>
    </xdr:from>
    <xdr:to>
      <xdr:col>19</xdr:col>
      <xdr:colOff>498600</xdr:colOff>
      <xdr:row>89</xdr:row>
      <xdr:rowOff>98640</xdr:rowOff>
    </xdr:to>
    <xdr:graphicFrame>
      <xdr:nvGraphicFramePr>
        <xdr:cNvPr id="0" name="Grafico 9"/>
        <xdr:cNvGraphicFramePr/>
      </xdr:nvGraphicFramePr>
      <xdr:xfrm>
        <a:off x="12875760" y="13388040"/>
        <a:ext cx="13050720" cy="451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8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E7" activeCellId="0" sqref="E7"/>
    </sheetView>
  </sheetViews>
  <sheetFormatPr defaultColWidth="10.55078125" defaultRowHeight="15.75" zeroHeight="false" outlineLevelRow="0" outlineLevelCol="0"/>
  <cols>
    <col collapsed="false" customWidth="false" hidden="false" outlineLevel="0" max="1" min="1" style="1" width="10.55"/>
    <col collapsed="false" customWidth="true" hidden="false" outlineLevel="0" max="2" min="2" style="1" width="15.33"/>
    <col collapsed="false" customWidth="true" hidden="false" outlineLevel="0" max="3" min="3" style="1" width="32.26"/>
    <col collapsed="false" customWidth="true" hidden="false" outlineLevel="0" max="4" min="4" style="1" width="27.31"/>
    <col collapsed="false" customWidth="true" hidden="false" outlineLevel="0" max="5" min="5" style="1" width="28.3"/>
    <col collapsed="false" customWidth="true" hidden="false" outlineLevel="0" max="6" min="6" style="1" width="18.66"/>
    <col collapsed="false" customWidth="true" hidden="false" outlineLevel="0" max="7" min="7" style="2" width="18.66"/>
    <col collapsed="false" customWidth="true" hidden="false" outlineLevel="0" max="8" min="8" style="1" width="4.77"/>
    <col collapsed="false" customWidth="true" hidden="false" outlineLevel="0" max="9" min="9" style="1" width="15.19"/>
    <col collapsed="false" customWidth="true" hidden="false" outlineLevel="0" max="10" min="10" style="1" width="10.96"/>
    <col collapsed="false" customWidth="true" hidden="false" outlineLevel="0" max="11" min="11" style="1" width="18.43"/>
    <col collapsed="false" customWidth="true" hidden="false" outlineLevel="0" max="12" min="12" style="1" width="12.8"/>
    <col collapsed="false" customWidth="false" hidden="false" outlineLevel="0" max="16" min="13" style="1" width="10.55"/>
    <col collapsed="false" customWidth="true" hidden="false" outlineLevel="0" max="17" min="17" style="1" width="12.51"/>
    <col collapsed="false" customWidth="true" hidden="false" outlineLevel="0" max="18" min="18" style="2" width="13.83"/>
    <col collapsed="false" customWidth="false" hidden="false" outlineLevel="0" max="21" min="19" style="1" width="10.55"/>
    <col collapsed="false" customWidth="true" hidden="false" outlineLevel="0" max="22" min="22" style="3" width="10.83"/>
    <col collapsed="false" customWidth="false" hidden="false" outlineLevel="0" max="16384" min="23" style="1" width="10.55"/>
  </cols>
  <sheetData>
    <row r="1" customFormat="false" ht="15.75" hidden="false" customHeight="false" outlineLevel="0" collapsed="false">
      <c r="A1" s="1" t="s">
        <v>0</v>
      </c>
      <c r="C1" s="4" t="s">
        <v>1</v>
      </c>
      <c r="D1" s="4"/>
      <c r="E1" s="4"/>
      <c r="F1" s="4"/>
    </row>
    <row r="2" customFormat="false" ht="15.75" hidden="false" customHeight="false" outlineLevel="0" collapsed="false">
      <c r="C2" s="1" t="s">
        <v>2</v>
      </c>
    </row>
    <row r="4" customFormat="false" ht="15.75" hidden="false" customHeight="false" outlineLevel="0" collapsed="false">
      <c r="C4" s="1" t="s">
        <v>3</v>
      </c>
    </row>
    <row r="6" customFormat="false" ht="15.75" hidden="false" customHeight="false" outlineLevel="0" collapsed="false">
      <c r="C6" s="1" t="s">
        <v>4</v>
      </c>
      <c r="D6" s="1" t="n">
        <f aca="false">0.5*(5/5)</f>
        <v>0.5</v>
      </c>
      <c r="E6" s="2" t="s">
        <v>5</v>
      </c>
      <c r="F6" s="1" t="n">
        <v>0.03</v>
      </c>
      <c r="G6" s="1"/>
    </row>
    <row r="7" customFormat="false" ht="15.75" hidden="false" customHeight="false" outlineLevel="0" collapsed="false">
      <c r="C7" s="1" t="s">
        <v>6</v>
      </c>
      <c r="D7" s="1" t="n">
        <f aca="false">0.5*(20/5)</f>
        <v>2</v>
      </c>
    </row>
    <row r="9" customFormat="false" ht="15.75" hidden="false" customHeight="false" outlineLevel="0" collapsed="false">
      <c r="B9" s="1" t="s">
        <v>7</v>
      </c>
      <c r="C9" s="5" t="s">
        <v>8</v>
      </c>
      <c r="D9" s="1" t="s">
        <v>9</v>
      </c>
      <c r="E9" s="5" t="s">
        <v>10</v>
      </c>
      <c r="F9" s="1" t="s">
        <v>11</v>
      </c>
      <c r="G9" s="2" t="s">
        <v>12</v>
      </c>
      <c r="I9" s="5" t="s">
        <v>13</v>
      </c>
      <c r="J9" s="1" t="s">
        <v>14</v>
      </c>
      <c r="K9" s="1" t="s">
        <v>15</v>
      </c>
      <c r="L9" s="5" t="s">
        <v>16</v>
      </c>
      <c r="M9" s="1" t="s">
        <v>17</v>
      </c>
      <c r="P9" s="1" t="s">
        <v>18</v>
      </c>
    </row>
    <row r="10" customFormat="false" ht="15.75" hidden="false" customHeight="false" outlineLevel="0" collapsed="false">
      <c r="B10" s="1" t="n">
        <v>5</v>
      </c>
      <c r="C10" s="5" t="n">
        <v>5</v>
      </c>
      <c r="D10" s="6" t="n">
        <f aca="false">SQRT((0.5*B10/5)^2 + ($D$6)^2 + (C10*$F$6)^2)</f>
        <v>0.722841614740048</v>
      </c>
      <c r="E10" s="7" t="n">
        <f aca="false">SQRT((0.5*B10/5)^2 + ($D$7)^2 + (C10*$F$6)^2)</f>
        <v>2.06700266085944</v>
      </c>
      <c r="F10" s="6" t="n">
        <f aca="false">E10/C10</f>
        <v>0.413400532171888</v>
      </c>
      <c r="G10" s="8" t="s">
        <v>19</v>
      </c>
      <c r="H10" s="1" t="s">
        <v>20</v>
      </c>
      <c r="I10" s="9" t="n">
        <v>4.2</v>
      </c>
      <c r="J10" s="3" t="n">
        <v>0.003</v>
      </c>
      <c r="K10" s="1" t="n">
        <f aca="false">J10*I10</f>
        <v>0.0126</v>
      </c>
      <c r="L10" s="5" t="n">
        <f aca="false">ROUND(K10,1) +0.2</f>
        <v>0.2</v>
      </c>
      <c r="M10" s="10" t="n">
        <f aca="false">L10/I10</f>
        <v>0.0476190476190476</v>
      </c>
    </row>
    <row r="11" customFormat="false" ht="15.75" hidden="false" customHeight="false" outlineLevel="0" collapsed="false">
      <c r="B11" s="1" t="n">
        <v>5</v>
      </c>
      <c r="C11" s="5" t="n">
        <v>10</v>
      </c>
      <c r="D11" s="6" t="n">
        <f aca="false">SQRT((0.5*B11/5)^2 + ($D$6)^2 + (C11*$F$6)^2)</f>
        <v>0.768114574786861</v>
      </c>
      <c r="E11" s="7" t="n">
        <f aca="false">SQRT((0.5*B11/5)^2 + ($D$7)^2 + (C11*$F$6)^2)</f>
        <v>2.08326666559997</v>
      </c>
      <c r="F11" s="6" t="n">
        <f aca="false">E11/C11</f>
        <v>0.208326666559997</v>
      </c>
      <c r="G11" s="8" t="s">
        <v>21</v>
      </c>
      <c r="I11" s="9" t="n">
        <v>9</v>
      </c>
      <c r="J11" s="3" t="n">
        <v>0.003</v>
      </c>
      <c r="K11" s="1" t="n">
        <f aca="false">J11*I11</f>
        <v>0.027</v>
      </c>
      <c r="L11" s="5" t="n">
        <f aca="false">ROUND(K11,1) +0.2</f>
        <v>0.2</v>
      </c>
      <c r="M11" s="10" t="n">
        <f aca="false">L11/I11</f>
        <v>0.0222222222222222</v>
      </c>
    </row>
    <row r="12" customFormat="false" ht="15.75" hidden="false" customHeight="false" outlineLevel="0" collapsed="false">
      <c r="B12" s="1" t="n">
        <v>5</v>
      </c>
      <c r="C12" s="5" t="n">
        <v>15</v>
      </c>
      <c r="D12" s="6" t="n">
        <f aca="false">SQRT((0.5*B12/5)^2 + ($D$6)^2 + (C12*$F$6)^2)</f>
        <v>0.838152730712011</v>
      </c>
      <c r="E12" s="7" t="n">
        <f aca="false">SQRT((0.5*B12/5)^2 + ($D$7)^2 + (C12*$F$6)^2)</f>
        <v>2.11009478460092</v>
      </c>
      <c r="F12" s="6" t="n">
        <f aca="false">E12/C12</f>
        <v>0.140672985640061</v>
      </c>
      <c r="G12" s="8" t="s">
        <v>22</v>
      </c>
      <c r="I12" s="9" t="n">
        <v>14</v>
      </c>
      <c r="J12" s="3" t="n">
        <v>0.003</v>
      </c>
      <c r="K12" s="1" t="n">
        <f aca="false">J12*I12</f>
        <v>0.042</v>
      </c>
      <c r="L12" s="5" t="n">
        <f aca="false">ROUND(K12,1) +0.2</f>
        <v>0.2</v>
      </c>
      <c r="M12" s="10" t="n">
        <f aca="false">L12/I12</f>
        <v>0.0142857142857143</v>
      </c>
    </row>
    <row r="13" customFormat="false" ht="15.75" hidden="false" customHeight="false" outlineLevel="0" collapsed="false">
      <c r="B13" s="1" t="n">
        <v>5</v>
      </c>
      <c r="C13" s="5" t="n">
        <v>20</v>
      </c>
      <c r="D13" s="6" t="n">
        <f aca="false">SQRT((0.5*B13/5)^2 + ($D$6)^2 + (C13*$F$6)^2)</f>
        <v>0.92736184954957</v>
      </c>
      <c r="E13" s="7" t="n">
        <f aca="false">SQRT((0.5*B13/5)^2 + ($D$7)^2 + (C13*$F$6)^2)</f>
        <v>2.14709105535839</v>
      </c>
      <c r="F13" s="6" t="n">
        <f aca="false">E13/C13</f>
        <v>0.107354552767919</v>
      </c>
      <c r="G13" s="8" t="s">
        <v>23</v>
      </c>
      <c r="I13" s="9" t="n">
        <v>19</v>
      </c>
      <c r="J13" s="3" t="n">
        <v>0.003</v>
      </c>
      <c r="K13" s="1" t="n">
        <f aca="false">J13*I13</f>
        <v>0.057</v>
      </c>
      <c r="L13" s="5" t="n">
        <f aca="false">ROUND(K13,1) +0.2</f>
        <v>0.3</v>
      </c>
      <c r="M13" s="10" t="n">
        <f aca="false">L13/I13</f>
        <v>0.0157894736842105</v>
      </c>
    </row>
    <row r="14" customFormat="false" ht="15.75" hidden="false" customHeight="false" outlineLevel="0" collapsed="false">
      <c r="B14" s="1" t="n">
        <v>5</v>
      </c>
      <c r="C14" s="5" t="n">
        <v>25</v>
      </c>
      <c r="D14" s="6" t="n">
        <f aca="false">SQRT((0.5*B14/5)^2 + ($D$6)^2 + (C14*$F$6)^2)</f>
        <v>1.03077640640442</v>
      </c>
      <c r="E14" s="7" t="n">
        <f aca="false">SQRT((0.5*B14/5)^2 + ($D$7)^2 + (C14*$F$6)^2)</f>
        <v>2.19374109684803</v>
      </c>
      <c r="F14" s="6" t="n">
        <f aca="false">E14/C14</f>
        <v>0.0877496438739212</v>
      </c>
      <c r="G14" s="8" t="s">
        <v>24</v>
      </c>
      <c r="I14" s="9" t="n">
        <v>24</v>
      </c>
      <c r="J14" s="3" t="n">
        <v>0.003</v>
      </c>
      <c r="K14" s="1" t="n">
        <f aca="false">J14*I14</f>
        <v>0.072</v>
      </c>
      <c r="L14" s="5" t="n">
        <f aca="false">ROUND(K14,1) +0.2</f>
        <v>0.3</v>
      </c>
      <c r="M14" s="10" t="n">
        <f aca="false">L14/I14</f>
        <v>0.0125</v>
      </c>
    </row>
    <row r="15" customFormat="false" ht="15.75" hidden="false" customHeight="false" outlineLevel="0" collapsed="false">
      <c r="B15" s="1" t="n">
        <v>10</v>
      </c>
      <c r="C15" s="5" t="n">
        <v>30</v>
      </c>
      <c r="D15" s="6" t="n">
        <f aca="false">SQRT((0.5*B15/5)^2 + ($D$6)^2 + (C15*$F$6)^2)</f>
        <v>1.43527000944073</v>
      </c>
      <c r="E15" s="7" t="n">
        <f aca="false">SQRT((0.5*B15/5)^2 + ($D$7)^2 + (C15*$F$6)^2)</f>
        <v>2.41039415863879</v>
      </c>
      <c r="F15" s="6" t="n">
        <f aca="false">E15/C15</f>
        <v>0.0803464719546263</v>
      </c>
      <c r="G15" s="8" t="s">
        <v>25</v>
      </c>
      <c r="I15" s="9" t="n">
        <v>29</v>
      </c>
      <c r="J15" s="3" t="n">
        <v>0.003</v>
      </c>
      <c r="K15" s="1" t="n">
        <f aca="false">J15*I15</f>
        <v>0.087</v>
      </c>
      <c r="L15" s="5" t="n">
        <f aca="false">ROUND(K15,1) +0.2</f>
        <v>0.3</v>
      </c>
      <c r="M15" s="10" t="n">
        <f aca="false">L15/I15</f>
        <v>0.0103448275862069</v>
      </c>
    </row>
    <row r="16" customFormat="false" ht="15.75" hidden="false" customHeight="false" outlineLevel="0" collapsed="false">
      <c r="B16" s="1" t="n">
        <v>10</v>
      </c>
      <c r="C16" s="5" t="n">
        <v>40</v>
      </c>
      <c r="D16" s="6" t="n">
        <f aca="false">SQRT((0.5*B16/5)^2 + ($D$6)^2 + (C16*$F$6)^2)</f>
        <v>1.64012194668567</v>
      </c>
      <c r="E16" s="7" t="n">
        <f aca="false">SQRT((0.5*B16/5)^2 + ($D$7)^2 + (C16*$F$6)^2)</f>
        <v>2.5377155080899</v>
      </c>
      <c r="F16" s="6" t="n">
        <f aca="false">E16/C16</f>
        <v>0.0634428877022476</v>
      </c>
      <c r="G16" s="8" t="s">
        <v>26</v>
      </c>
      <c r="I16" s="9" t="n">
        <v>39</v>
      </c>
      <c r="J16" s="3" t="n">
        <v>0.003</v>
      </c>
      <c r="K16" s="1" t="n">
        <f aca="false">J16*I16</f>
        <v>0.117</v>
      </c>
      <c r="L16" s="5" t="n">
        <f aca="false">ROUND(K16,1) +0.2</f>
        <v>0.3</v>
      </c>
      <c r="M16" s="10" t="n">
        <f aca="false">L16/I16</f>
        <v>0.00769230769230769</v>
      </c>
    </row>
    <row r="17" customFormat="false" ht="15.75" hidden="false" customHeight="false" outlineLevel="0" collapsed="false">
      <c r="B17" s="1" t="n">
        <v>10</v>
      </c>
      <c r="C17" s="5" t="n">
        <v>50</v>
      </c>
      <c r="D17" s="6" t="n">
        <f aca="false">SQRT((0.5*B17/5)^2 + ($D$6)^2 + (C17*$F$6)^2)</f>
        <v>1.87082869338697</v>
      </c>
      <c r="E17" s="7" t="n">
        <f aca="false">SQRT((0.5*B17/5)^2 + ($D$7)^2 + (C17*$F$6)^2)</f>
        <v>2.69258240356725</v>
      </c>
      <c r="F17" s="6" t="n">
        <f aca="false">E17/C17</f>
        <v>0.053851648071345</v>
      </c>
      <c r="G17" s="8" t="s">
        <v>27</v>
      </c>
      <c r="I17" s="9" t="n">
        <v>48.8</v>
      </c>
      <c r="J17" s="3" t="n">
        <v>0.003</v>
      </c>
      <c r="K17" s="1" t="n">
        <f aca="false">J17*I17</f>
        <v>0.1464</v>
      </c>
      <c r="L17" s="5" t="n">
        <f aca="false">ROUND(K17,1) +0.2</f>
        <v>0.3</v>
      </c>
      <c r="M17" s="10" t="n">
        <f aca="false">L17/I17</f>
        <v>0.00614754098360656</v>
      </c>
    </row>
    <row r="18" customFormat="false" ht="15.75" hidden="false" customHeight="false" outlineLevel="0" collapsed="false">
      <c r="B18" s="1" t="n">
        <v>20</v>
      </c>
      <c r="C18" s="5" t="n">
        <v>60</v>
      </c>
      <c r="D18" s="6" t="n">
        <f aca="false">SQRT((0.5*B18/5)^2 + ($D$6)^2 + (C18*$F$6)^2)</f>
        <v>2.7367864366808</v>
      </c>
      <c r="E18" s="7" t="n">
        <f aca="false">SQRT((0.5*B18/5)^2 + ($D$7)^2 + (C18*$F$6)^2)</f>
        <v>3.35261092284804</v>
      </c>
      <c r="F18" s="6" t="n">
        <f aca="false">E18/C18</f>
        <v>0.055876848714134</v>
      </c>
      <c r="G18" s="8" t="s">
        <v>28</v>
      </c>
      <c r="I18" s="9" t="n">
        <v>58.5</v>
      </c>
      <c r="J18" s="3" t="n">
        <v>0.003</v>
      </c>
      <c r="K18" s="1" t="n">
        <f aca="false">J18*I18</f>
        <v>0.1755</v>
      </c>
      <c r="L18" s="5" t="n">
        <f aca="false">ROUND(K18,1) +0.2</f>
        <v>0.4</v>
      </c>
      <c r="M18" s="10" t="n">
        <f aca="false">L18/I18</f>
        <v>0.00683760683760684</v>
      </c>
    </row>
    <row r="19" customFormat="false" ht="15.75" hidden="false" customHeight="false" outlineLevel="0" collapsed="false">
      <c r="B19" s="1" t="n">
        <v>20</v>
      </c>
      <c r="C19" s="5" t="n">
        <v>80</v>
      </c>
      <c r="D19" s="6" t="n">
        <f aca="false">SQRT((0.5*B19/5)^2 + ($D$6)^2 + (C19*$F$6)^2)</f>
        <v>3.16385840391128</v>
      </c>
      <c r="E19" s="7" t="n">
        <f aca="false">SQRT((0.5*B19/5)^2 + ($D$7)^2 + (C19*$F$6)^2)</f>
        <v>3.70944739819828</v>
      </c>
      <c r="F19" s="6" t="n">
        <f aca="false">E19/C19</f>
        <v>0.0463680924774785</v>
      </c>
      <c r="G19" s="8" t="s">
        <v>29</v>
      </c>
      <c r="I19" s="9" t="n">
        <v>77.1</v>
      </c>
      <c r="J19" s="3" t="n">
        <v>0.003</v>
      </c>
      <c r="K19" s="1" t="n">
        <f aca="false">J19*I19</f>
        <v>0.2313</v>
      </c>
      <c r="L19" s="5" t="n">
        <f aca="false">ROUND(K19,1) +0.2</f>
        <v>0.4</v>
      </c>
      <c r="M19" s="10" t="n">
        <f aca="false">L19/I19</f>
        <v>0.00518806744487678</v>
      </c>
    </row>
    <row r="20" customFormat="false" ht="15.75" hidden="false" customHeight="false" outlineLevel="0" collapsed="false">
      <c r="B20" s="1" t="n">
        <v>20</v>
      </c>
      <c r="C20" s="5" t="n">
        <v>100</v>
      </c>
      <c r="D20" s="6" t="n">
        <f aca="false">SQRT((0.5*B20/5)^2 + ($D$6)^2 + (C20*$F$6)^2)</f>
        <v>3.64005494464026</v>
      </c>
      <c r="E20" s="7" t="n">
        <f aca="false">SQRT((0.5*B20/5)^2 + ($D$7)^2 + (C20*$F$6)^2)</f>
        <v>4.12310562561766</v>
      </c>
      <c r="F20" s="6" t="n">
        <f aca="false">E20/C20</f>
        <v>0.0412310562561766</v>
      </c>
      <c r="G20" s="8" t="s">
        <v>30</v>
      </c>
      <c r="I20" s="11" t="n">
        <v>97.7</v>
      </c>
      <c r="J20" s="3" t="n">
        <v>0.003</v>
      </c>
      <c r="K20" s="1" t="n">
        <f aca="false">J20*I20</f>
        <v>0.2931</v>
      </c>
      <c r="L20" s="5" t="n">
        <f aca="false">ROUND(K20,1) +0.2</f>
        <v>0.5</v>
      </c>
      <c r="M20" s="10" t="n">
        <f aca="false">L20/I20</f>
        <v>0.00511770726714432</v>
      </c>
    </row>
    <row r="21" customFormat="false" ht="15.75" hidden="false" customHeight="false" outlineLevel="0" collapsed="false">
      <c r="B21" s="12" t="n">
        <v>20</v>
      </c>
      <c r="C21" s="13" t="n">
        <v>120</v>
      </c>
      <c r="D21" s="14" t="n">
        <f aca="false">SQRT((0.5*B21/5)^2 + ($D$6)^2 + (C21*$F$6)^2)</f>
        <v>4.14849370253831</v>
      </c>
      <c r="E21" s="15" t="n">
        <f aca="false">SQRT((0.5*B21/5)^2 + ($D$7)^2 + (C21*$F$6)^2)</f>
        <v>4.57820925690384</v>
      </c>
      <c r="F21" s="14" t="n">
        <f aca="false">E21/C21</f>
        <v>0.038151743807532</v>
      </c>
      <c r="G21" s="16" t="s">
        <v>31</v>
      </c>
      <c r="H21" s="12"/>
      <c r="I21" s="17" t="n">
        <v>117.2</v>
      </c>
      <c r="J21" s="18" t="n">
        <v>0.003</v>
      </c>
      <c r="K21" s="12" t="n">
        <f aca="false">J21*I21</f>
        <v>0.3516</v>
      </c>
      <c r="L21" s="13" t="n">
        <f aca="false">ROUND(K21,1) +0.2</f>
        <v>0.6</v>
      </c>
      <c r="M21" s="19" t="n">
        <f aca="false">L21/I21</f>
        <v>0.00511945392491468</v>
      </c>
    </row>
    <row r="22" customFormat="false" ht="15.75" hidden="false" customHeight="false" outlineLevel="0" collapsed="false">
      <c r="B22" s="1" t="n">
        <v>20</v>
      </c>
      <c r="C22" s="5" t="n">
        <v>100</v>
      </c>
      <c r="D22" s="6" t="n">
        <f aca="false">SQRT((0.5*B22/5)^2 + ($D$6)^2 + (C22*$F$6)^2)</f>
        <v>3.64005494464026</v>
      </c>
      <c r="E22" s="7" t="n">
        <f aca="false">SQRT((0.5*B22/5)^2 + ($D$7)^2 + (C22*$F$6)^2)</f>
        <v>4.12310562561766</v>
      </c>
      <c r="F22" s="6" t="n">
        <f aca="false">E22/C22</f>
        <v>0.0412310562561766</v>
      </c>
      <c r="G22" s="2" t="s">
        <v>32</v>
      </c>
      <c r="H22" s="1" t="s">
        <v>20</v>
      </c>
      <c r="I22" s="11" t="n">
        <v>97.4</v>
      </c>
      <c r="J22" s="3" t="n">
        <v>0.003</v>
      </c>
      <c r="K22" s="1" t="n">
        <f aca="false">J22*I22</f>
        <v>0.2922</v>
      </c>
      <c r="L22" s="5" t="n">
        <f aca="false">ROUND(K22,1) +0.2</f>
        <v>0.5</v>
      </c>
      <c r="M22" s="10" t="n">
        <f aca="false">L22/I22</f>
        <v>0.00513347022587269</v>
      </c>
      <c r="N22" s="10"/>
      <c r="P22" s="1" t="s">
        <v>33</v>
      </c>
      <c r="U22" s="1" t="n">
        <v>100</v>
      </c>
      <c r="V22" s="1"/>
    </row>
    <row r="23" s="1" customFormat="true" ht="15.75" hidden="false" customHeight="false" outlineLevel="0" collapsed="false">
      <c r="B23" s="1" t="n">
        <v>50</v>
      </c>
      <c r="C23" s="5" t="n">
        <v>120</v>
      </c>
      <c r="D23" s="6" t="n">
        <f aca="false">SQRT((0.5*B23/5)^2 + ($D$6)^2 + (C23*$F$6)^2)</f>
        <v>6.18142378421024</v>
      </c>
      <c r="E23" s="7" t="n">
        <f aca="false">SQRT((0.5*B23/5)^2 + ($D$7)^2 + (C23*$F$6)^2)</f>
        <v>6.47765389628066</v>
      </c>
      <c r="F23" s="6" t="n">
        <f aca="false">E23/C23</f>
        <v>0.0539804491356722</v>
      </c>
      <c r="G23" s="2" t="s">
        <v>34</v>
      </c>
      <c r="I23" s="11" t="n">
        <v>118.8</v>
      </c>
      <c r="J23" s="3" t="n">
        <v>0.003</v>
      </c>
      <c r="K23" s="1" t="n">
        <f aca="false">J23*I23</f>
        <v>0.3564</v>
      </c>
      <c r="L23" s="5" t="n">
        <f aca="false">ROUND(K23,1) +0.2</f>
        <v>0.6</v>
      </c>
      <c r="M23" s="10" t="n">
        <f aca="false">L23/I23</f>
        <v>0.00505050505050505</v>
      </c>
      <c r="N23" s="10"/>
      <c r="P23" s="1" t="s">
        <v>35</v>
      </c>
      <c r="Q23" s="1" t="s">
        <v>36</v>
      </c>
      <c r="R23" s="2" t="s">
        <v>37</v>
      </c>
      <c r="U23" s="1" t="n">
        <v>120</v>
      </c>
    </row>
    <row r="24" s="1" customFormat="true" ht="15.75" hidden="false" customHeight="false" outlineLevel="0" collapsed="false">
      <c r="B24" s="1" t="n">
        <v>50</v>
      </c>
      <c r="C24" s="5" t="n">
        <v>140</v>
      </c>
      <c r="D24" s="6" t="n">
        <f aca="false">SQRT((0.5*B24/5)^2 + ($D$6)^2 + (C24*$F$6)^2)</f>
        <v>6.54904573201318</v>
      </c>
      <c r="E24" s="7" t="n">
        <f aca="false">SQRT((0.5*B24/5)^2 + ($D$7)^2 + (C24*$F$6)^2)</f>
        <v>6.82934843158555</v>
      </c>
      <c r="F24" s="6" t="n">
        <f aca="false">E24/C24</f>
        <v>0.0487810602256111</v>
      </c>
      <c r="G24" s="2" t="s">
        <v>38</v>
      </c>
      <c r="I24" s="11" t="n">
        <v>139</v>
      </c>
      <c r="J24" s="3" t="n">
        <v>0.003</v>
      </c>
      <c r="K24" s="1" t="n">
        <f aca="false">J24*I24</f>
        <v>0.417</v>
      </c>
      <c r="L24" s="5" t="n">
        <f aca="false">ROUND(K24,1) +0.2</f>
        <v>0.6</v>
      </c>
      <c r="M24" s="10" t="n">
        <f aca="false">L24/I24</f>
        <v>0.00431654676258993</v>
      </c>
      <c r="N24" s="10"/>
      <c r="O24" s="1" t="n">
        <v>1</v>
      </c>
      <c r="P24" s="1" t="s">
        <v>39</v>
      </c>
      <c r="Q24" s="1" t="n">
        <v>5</v>
      </c>
      <c r="R24" s="2" t="s">
        <v>19</v>
      </c>
      <c r="U24" s="1" t="n">
        <v>140</v>
      </c>
    </row>
    <row r="25" s="1" customFormat="true" ht="15.75" hidden="false" customHeight="false" outlineLevel="0" collapsed="false">
      <c r="B25" s="1" t="n">
        <v>50</v>
      </c>
      <c r="C25" s="5" t="n">
        <v>150</v>
      </c>
      <c r="D25" s="6" t="n">
        <f aca="false">SQRT((0.5*B25/5)^2 + ($D$6)^2 + (C25*$F$6)^2)</f>
        <v>6.74536878161602</v>
      </c>
      <c r="E25" s="7" t="n">
        <f aca="false">SQRT((0.5*B25/5)^2 + ($D$7)^2 + (C25*$F$6)^2)</f>
        <v>7.0178344238091</v>
      </c>
      <c r="F25" s="6" t="n">
        <f aca="false">E25/C25</f>
        <v>0.046785562825394</v>
      </c>
      <c r="G25" s="2" t="s">
        <v>40</v>
      </c>
      <c r="I25" s="11" t="n">
        <v>147.4</v>
      </c>
      <c r="J25" s="3" t="n">
        <v>0.003</v>
      </c>
      <c r="K25" s="1" t="n">
        <f aca="false">J25*I25</f>
        <v>0.4422</v>
      </c>
      <c r="L25" s="5" t="n">
        <f aca="false">ROUND(K25,1) +0.2</f>
        <v>0.6</v>
      </c>
      <c r="M25" s="10" t="n">
        <f aca="false">L25/I25</f>
        <v>0.00407055630936228</v>
      </c>
      <c r="N25" s="10"/>
      <c r="O25" s="1" t="n">
        <v>2</v>
      </c>
      <c r="P25" s="1" t="s">
        <v>39</v>
      </c>
      <c r="Q25" s="1" t="n">
        <v>10</v>
      </c>
      <c r="R25" s="2" t="s">
        <v>21</v>
      </c>
      <c r="U25" s="1" t="n">
        <v>150</v>
      </c>
    </row>
    <row r="26" s="1" customFormat="true" ht="15.75" hidden="false" customHeight="false" outlineLevel="0" collapsed="false">
      <c r="B26" s="1" t="n">
        <v>50</v>
      </c>
      <c r="C26" s="5" t="n">
        <v>160</v>
      </c>
      <c r="D26" s="6" t="n">
        <f aca="false">SQRT((0.5*B26/5)^2 + ($D$6)^2 + (C26*$F$6)^2)</f>
        <v>6.94910066123668</v>
      </c>
      <c r="E26" s="7" t="n">
        <f aca="false">SQRT((0.5*B26/5)^2 + ($D$7)^2 + (C26*$F$6)^2)</f>
        <v>7.21387551874857</v>
      </c>
      <c r="F26" s="6" t="n">
        <f aca="false">E26/C26</f>
        <v>0.0450867219921786</v>
      </c>
      <c r="G26" s="2" t="s">
        <v>41</v>
      </c>
      <c r="I26" s="11" t="n">
        <v>159.2</v>
      </c>
      <c r="J26" s="3" t="n">
        <v>0.003</v>
      </c>
      <c r="K26" s="1" t="n">
        <f aca="false">J26*I26</f>
        <v>0.4776</v>
      </c>
      <c r="L26" s="5" t="n">
        <f aca="false">ROUND(K26,1) +0.2</f>
        <v>0.7</v>
      </c>
      <c r="M26" s="10" t="n">
        <f aca="false">L26/I26</f>
        <v>0.00439698492462312</v>
      </c>
      <c r="N26" s="10"/>
      <c r="O26" s="1" t="n">
        <v>3</v>
      </c>
      <c r="P26" s="1" t="s">
        <v>39</v>
      </c>
      <c r="Q26" s="1" t="n">
        <v>15</v>
      </c>
      <c r="R26" s="2" t="s">
        <v>22</v>
      </c>
      <c r="U26" s="1" t="n">
        <v>160</v>
      </c>
    </row>
    <row r="27" s="1" customFormat="true" ht="15.75" hidden="false" customHeight="false" outlineLevel="0" collapsed="false">
      <c r="B27" s="1" t="n">
        <v>50</v>
      </c>
      <c r="C27" s="5" t="n">
        <v>180</v>
      </c>
      <c r="D27" s="6" t="n">
        <f aca="false">SQRT((0.5*B27/5)^2 + ($D$6)^2 + (C27*$F$6)^2)</f>
        <v>7.37631344236401</v>
      </c>
      <c r="E27" s="7" t="n">
        <f aca="false">SQRT((0.5*B27/5)^2 + ($D$7)^2 + (C27*$F$6)^2)</f>
        <v>7.62627038597505</v>
      </c>
      <c r="F27" s="6" t="n">
        <f aca="false">E27/C27</f>
        <v>0.0423681688109725</v>
      </c>
      <c r="G27" s="2" t="s">
        <v>42</v>
      </c>
      <c r="I27" s="11" t="n">
        <v>179</v>
      </c>
      <c r="J27" s="3" t="n">
        <v>0.003</v>
      </c>
      <c r="K27" s="1" t="n">
        <f aca="false">J27*I27</f>
        <v>0.537</v>
      </c>
      <c r="L27" s="5" t="n">
        <f aca="false">ROUND(K27,1) +0.2</f>
        <v>0.7</v>
      </c>
      <c r="M27" s="10" t="n">
        <f aca="false">L27/I27</f>
        <v>0.00391061452513966</v>
      </c>
      <c r="N27" s="10"/>
      <c r="O27" s="1" t="n">
        <v>4</v>
      </c>
      <c r="P27" s="1" t="s">
        <v>39</v>
      </c>
      <c r="Q27" s="1" t="n">
        <v>20</v>
      </c>
      <c r="R27" s="2" t="s">
        <v>23</v>
      </c>
      <c r="U27" s="1" t="n">
        <v>180</v>
      </c>
    </row>
    <row r="28" s="1" customFormat="true" ht="15.75" hidden="false" customHeight="false" outlineLevel="0" collapsed="false">
      <c r="B28" s="1" t="n">
        <v>50</v>
      </c>
      <c r="C28" s="5" t="n">
        <v>200</v>
      </c>
      <c r="D28" s="6" t="n">
        <f aca="false">SQRT((0.5*B28/5)^2 + ($D$6)^2 + (C28*$F$6)^2)</f>
        <v>7.82623792124926</v>
      </c>
      <c r="E28" s="7" t="n">
        <f aca="false">SQRT((0.5*B28/5)^2 + ($D$7)^2 + (C28*$F$6)^2)</f>
        <v>8.06225774829855</v>
      </c>
      <c r="F28" s="6" t="n">
        <f aca="false">E28/C28</f>
        <v>0.0403112887414927</v>
      </c>
      <c r="G28" s="2" t="s">
        <v>43</v>
      </c>
      <c r="I28" s="11" t="n">
        <v>198.1</v>
      </c>
      <c r="J28" s="3" t="n">
        <v>0.003</v>
      </c>
      <c r="K28" s="1" t="n">
        <f aca="false">J28*I28</f>
        <v>0.5943</v>
      </c>
      <c r="L28" s="5" t="n">
        <f aca="false">ROUND(K28,1) +0.2</f>
        <v>0.8</v>
      </c>
      <c r="M28" s="10" t="n">
        <f aca="false">L28/I28</f>
        <v>0.00403836446239273</v>
      </c>
      <c r="N28" s="10"/>
      <c r="O28" s="1" t="n">
        <v>5</v>
      </c>
      <c r="P28" s="1" t="s">
        <v>39</v>
      </c>
      <c r="Q28" s="1" t="n">
        <v>25</v>
      </c>
      <c r="R28" s="2" t="s">
        <v>24</v>
      </c>
      <c r="U28" s="1" t="n">
        <v>200</v>
      </c>
    </row>
    <row r="29" s="1" customFormat="true" ht="15.75" hidden="false" customHeight="false" outlineLevel="0" collapsed="false">
      <c r="B29" s="1" t="n">
        <v>50</v>
      </c>
      <c r="C29" s="5" t="n">
        <v>220</v>
      </c>
      <c r="D29" s="6" t="n">
        <f aca="false">SQRT((0.5*B29/5)^2 + ($D$6)^2 + (C29*$F$6)^2)</f>
        <v>8.2951793229562</v>
      </c>
      <c r="E29" s="7" t="n">
        <f aca="false">SQRT((0.5*B29/5)^2 + ($D$7)^2 + (C29*$F$6)^2)</f>
        <v>8.51821577561874</v>
      </c>
      <c r="F29" s="6" t="n">
        <f aca="false">E29/C29</f>
        <v>0.0387191626164488</v>
      </c>
      <c r="G29" s="2" t="s">
        <v>44</v>
      </c>
      <c r="I29" s="11" t="n">
        <v>217.5</v>
      </c>
      <c r="J29" s="3" t="n">
        <v>0.003</v>
      </c>
      <c r="K29" s="1" t="n">
        <f aca="false">J29*I29</f>
        <v>0.6525</v>
      </c>
      <c r="L29" s="5" t="n">
        <f aca="false">ROUND(K29,1) +0.2</f>
        <v>0.9</v>
      </c>
      <c r="M29" s="10" t="n">
        <f aca="false">L29/I29</f>
        <v>0.00413793103448276</v>
      </c>
      <c r="N29" s="10"/>
      <c r="O29" s="1" t="n">
        <v>6</v>
      </c>
      <c r="P29" s="1" t="s">
        <v>45</v>
      </c>
      <c r="Q29" s="1" t="n">
        <v>30</v>
      </c>
      <c r="R29" s="2" t="s">
        <v>25</v>
      </c>
      <c r="U29" s="1" t="n">
        <v>220</v>
      </c>
    </row>
    <row r="30" s="1" customFormat="true" ht="15.75" hidden="false" customHeight="false" outlineLevel="0" collapsed="false">
      <c r="B30" s="1" t="n">
        <v>50</v>
      </c>
      <c r="C30" s="5" t="n">
        <v>240</v>
      </c>
      <c r="D30" s="6" t="n">
        <f aca="false">SQRT((0.5*B30/5)^2 + ($D$6)^2 + (C30*$F$6)^2)</f>
        <v>8.78009111570034</v>
      </c>
      <c r="E30" s="7" t="n">
        <f aca="false">SQRT((0.5*B30/5)^2 + ($D$7)^2 + (C30*$F$6)^2)</f>
        <v>8.99110671719561</v>
      </c>
      <c r="F30" s="6" t="n">
        <f aca="false">E30/C30</f>
        <v>0.0374629446549817</v>
      </c>
      <c r="G30" s="2" t="s">
        <v>46</v>
      </c>
      <c r="I30" s="11" t="n">
        <v>237.3</v>
      </c>
      <c r="J30" s="3" t="n">
        <v>0.003</v>
      </c>
      <c r="K30" s="1" t="n">
        <f aca="false">J30*I30</f>
        <v>0.7119</v>
      </c>
      <c r="L30" s="5" t="n">
        <f aca="false">ROUND(K30,1) +0.2</f>
        <v>0.9</v>
      </c>
      <c r="M30" s="10" t="n">
        <f aca="false">L30/I30</f>
        <v>0.00379266750948167</v>
      </c>
      <c r="N30" s="10"/>
      <c r="O30" s="1" t="n">
        <v>7</v>
      </c>
      <c r="P30" s="1" t="s">
        <v>45</v>
      </c>
      <c r="Q30" s="1" t="n">
        <v>40</v>
      </c>
      <c r="R30" s="2" t="s">
        <v>26</v>
      </c>
      <c r="U30" s="1" t="n">
        <v>240</v>
      </c>
    </row>
    <row r="31" s="1" customFormat="true" ht="15.75" hidden="false" customHeight="false" outlineLevel="0" collapsed="false">
      <c r="B31" s="1" t="n">
        <v>50</v>
      </c>
      <c r="C31" s="5" t="n">
        <v>260</v>
      </c>
      <c r="D31" s="6" t="n">
        <f aca="false">SQRT((0.5*B31/5)^2 + ($D$6)^2 + (C31*$F$6)^2)</f>
        <v>9.2784697014109</v>
      </c>
      <c r="E31" s="7" t="n">
        <f aca="false">SQRT((0.5*B31/5)^2 + ($D$7)^2 + (C31*$F$6)^2)</f>
        <v>9.47839648885823</v>
      </c>
      <c r="F31" s="6" t="n">
        <f aca="false">E31/C31</f>
        <v>0.0364553711109932</v>
      </c>
      <c r="G31" s="2" t="s">
        <v>47</v>
      </c>
      <c r="I31" s="11" t="n">
        <v>257</v>
      </c>
      <c r="J31" s="3" t="n">
        <v>0.003</v>
      </c>
      <c r="K31" s="1" t="n">
        <f aca="false">J31*I31</f>
        <v>0.771</v>
      </c>
      <c r="L31" s="5" t="n">
        <f aca="false">ROUND(K31,1) +0.2</f>
        <v>1</v>
      </c>
      <c r="M31" s="10" t="n">
        <f aca="false">L31/I31</f>
        <v>0.00389105058365759</v>
      </c>
      <c r="N31" s="10"/>
      <c r="O31" s="1" t="n">
        <v>8</v>
      </c>
      <c r="P31" s="1" t="s">
        <v>45</v>
      </c>
      <c r="Q31" s="1" t="n">
        <v>50</v>
      </c>
      <c r="R31" s="2" t="s">
        <v>27</v>
      </c>
      <c r="U31" s="1" t="n">
        <v>260</v>
      </c>
    </row>
    <row r="32" s="1" customFormat="true" ht="15.75" hidden="false" customHeight="false" outlineLevel="0" collapsed="false">
      <c r="B32" s="1" t="n">
        <v>50</v>
      </c>
      <c r="C32" s="5" t="n">
        <v>280</v>
      </c>
      <c r="D32" s="6" t="n">
        <f aca="false">SQRT((0.5*B32/5)^2 + ($D$6)^2 + (C32*$F$6)^2)</f>
        <v>9.78825827203185</v>
      </c>
      <c r="E32" s="7" t="n">
        <f aca="false">SQRT((0.5*B32/5)^2 + ($D$7)^2 + (C32*$F$6)^2)</f>
        <v>9.97797574661314</v>
      </c>
      <c r="F32" s="6" t="n">
        <f aca="false">E32/C32</f>
        <v>0.0356356276664755</v>
      </c>
      <c r="G32" s="2" t="s">
        <v>48</v>
      </c>
      <c r="I32" s="11" t="n">
        <v>276.8</v>
      </c>
      <c r="J32" s="3" t="n">
        <v>0.003</v>
      </c>
      <c r="K32" s="1" t="n">
        <f aca="false">J32*I32</f>
        <v>0.8304</v>
      </c>
      <c r="L32" s="5" t="n">
        <f aca="false">ROUND(K32,1) +0.2</f>
        <v>1</v>
      </c>
      <c r="M32" s="10" t="n">
        <f aca="false">L32/I32</f>
        <v>0.00361271676300578</v>
      </c>
      <c r="N32" s="10"/>
      <c r="O32" s="1" t="n">
        <v>9</v>
      </c>
      <c r="P32" s="1" t="s">
        <v>49</v>
      </c>
      <c r="Q32" s="1" t="n">
        <v>60</v>
      </c>
      <c r="R32" s="2" t="s">
        <v>28</v>
      </c>
      <c r="U32" s="1" t="n">
        <v>280</v>
      </c>
    </row>
    <row r="33" s="1" customFormat="true" ht="15.75" hidden="false" customHeight="false" outlineLevel="0" collapsed="false">
      <c r="B33" s="1" t="n">
        <v>50</v>
      </c>
      <c r="C33" s="5" t="n">
        <v>300</v>
      </c>
      <c r="D33" s="6" t="n">
        <f aca="false">SQRT((0.5*B33/5)^2 + ($D$6)^2 + (C33*$F$6)^2)</f>
        <v>10.3077640640442</v>
      </c>
      <c r="E33" s="7" t="n">
        <f aca="false">SQRT((0.5*B33/5)^2 + ($D$7)^2 + (C33*$F$6)^2)</f>
        <v>10.4880884817015</v>
      </c>
      <c r="F33" s="6" t="n">
        <f aca="false">E33/C33</f>
        <v>0.0349602949390051</v>
      </c>
      <c r="G33" s="2" t="s">
        <v>50</v>
      </c>
      <c r="I33" s="11" t="n">
        <v>296.9</v>
      </c>
      <c r="J33" s="3" t="n">
        <v>0.003</v>
      </c>
      <c r="K33" s="1" t="n">
        <f aca="false">J33*I33</f>
        <v>0.8907</v>
      </c>
      <c r="L33" s="5" t="n">
        <f aca="false">ROUND(K33,1) +0.2</f>
        <v>1.1</v>
      </c>
      <c r="M33" s="10" t="n">
        <f aca="false">L33/I33</f>
        <v>0.00370495116200741</v>
      </c>
      <c r="N33" s="10"/>
      <c r="O33" s="1" t="n">
        <v>10</v>
      </c>
      <c r="P33" s="1" t="s">
        <v>49</v>
      </c>
      <c r="Q33" s="1" t="n">
        <v>80</v>
      </c>
      <c r="R33" s="2" t="s">
        <v>29</v>
      </c>
      <c r="U33" s="1" t="n">
        <v>300</v>
      </c>
    </row>
    <row r="34" s="1" customFormat="true" ht="15.75" hidden="false" customHeight="false" outlineLevel="0" collapsed="false">
      <c r="B34" s="1" t="n">
        <v>100</v>
      </c>
      <c r="C34" s="5" t="n">
        <v>340</v>
      </c>
      <c r="D34" s="6" t="n">
        <f aca="false">SQRT((0.5*B34/5)^2 + ($D$6)^2 + (C34*$F$6)^2)</f>
        <v>14.293005282305</v>
      </c>
      <c r="E34" s="7" t="n">
        <f aca="false">SQRT((0.5*B34/5)^2 + ($D$7)^2 + (C34*$F$6)^2)</f>
        <v>14.4235917856822</v>
      </c>
      <c r="F34" s="6" t="n">
        <f aca="false">E34/C34</f>
        <v>0.0424223287814183</v>
      </c>
      <c r="G34" s="2" t="s">
        <v>51</v>
      </c>
      <c r="I34" s="11" t="n">
        <v>336.9</v>
      </c>
      <c r="J34" s="3" t="n">
        <v>0.003</v>
      </c>
      <c r="K34" s="1" t="n">
        <f aca="false">J34*I34</f>
        <v>1.0107</v>
      </c>
      <c r="L34" s="5" t="n">
        <f aca="false">ROUND(K34,1) +0.2</f>
        <v>1.2</v>
      </c>
      <c r="M34" s="10" t="n">
        <f aca="false">L34/I34</f>
        <v>0.00356188780053428</v>
      </c>
      <c r="N34" s="10"/>
      <c r="O34" s="1" t="n">
        <v>11</v>
      </c>
      <c r="P34" s="1" t="s">
        <v>49</v>
      </c>
      <c r="Q34" s="1" t="n">
        <v>100</v>
      </c>
      <c r="R34" s="2" t="s">
        <v>30</v>
      </c>
      <c r="U34" s="1" t="n">
        <v>340</v>
      </c>
    </row>
    <row r="35" s="1" customFormat="true" ht="15.75" hidden="false" customHeight="false" outlineLevel="0" collapsed="false">
      <c r="B35" s="1" t="n">
        <v>100</v>
      </c>
      <c r="C35" s="5" t="n">
        <v>380</v>
      </c>
      <c r="D35" s="6" t="n">
        <f aca="false">SQRT((0.5*B35/5)^2 + ($D$6)^2 + (C35*$F$6)^2)</f>
        <v>15.1726728034318</v>
      </c>
      <c r="E35" s="7" t="n">
        <f aca="false">SQRT((0.5*B35/5)^2 + ($D$7)^2 + (C35*$F$6)^2)</f>
        <v>15.2957510439991</v>
      </c>
      <c r="F35" s="6" t="n">
        <f aca="false">E35/C35</f>
        <v>0.0402519764315766</v>
      </c>
      <c r="G35" s="2" t="s">
        <v>52</v>
      </c>
      <c r="I35" s="11" t="n">
        <v>377.1</v>
      </c>
      <c r="J35" s="3" t="n">
        <v>0.003</v>
      </c>
      <c r="K35" s="1" t="n">
        <f aca="false">J35*I35</f>
        <v>1.1313</v>
      </c>
      <c r="L35" s="5" t="n">
        <f aca="false">ROUND(K35,1) +0.2</f>
        <v>1.3</v>
      </c>
      <c r="M35" s="10" t="n">
        <f aca="false">L35/I35</f>
        <v>0.00344736144258817</v>
      </c>
      <c r="N35" s="10"/>
      <c r="O35" s="1" t="n">
        <v>12</v>
      </c>
      <c r="P35" s="1" t="s">
        <v>49</v>
      </c>
      <c r="Q35" s="1" t="n">
        <v>120</v>
      </c>
      <c r="R35" s="2" t="s">
        <v>31</v>
      </c>
      <c r="S35" s="1" t="s">
        <v>20</v>
      </c>
      <c r="U35" s="1" t="n">
        <v>380</v>
      </c>
    </row>
    <row r="36" customFormat="false" ht="15.75" hidden="false" customHeight="false" outlineLevel="0" collapsed="false">
      <c r="B36" s="1" t="n">
        <v>100</v>
      </c>
      <c r="C36" s="5" t="n">
        <v>420</v>
      </c>
      <c r="D36" s="6" t="n">
        <f aca="false">SQRT((0.5*B36/5)^2 + ($D$6)^2 + (C36*$F$6)^2)</f>
        <v>16.0937876213153</v>
      </c>
      <c r="E36" s="7" t="n">
        <f aca="false">SQRT((0.5*B36/5)^2 + ($D$7)^2 + (C36*$F$6)^2)</f>
        <v>16.2098735343617</v>
      </c>
      <c r="F36" s="6" t="n">
        <f aca="false">E36/C36</f>
        <v>0.0385949369865755</v>
      </c>
      <c r="G36" s="20" t="s">
        <v>53</v>
      </c>
      <c r="H36" s="21" t="s">
        <v>54</v>
      </c>
      <c r="I36" s="22" t="n">
        <v>416</v>
      </c>
      <c r="J36" s="23" t="n">
        <v>0.001</v>
      </c>
      <c r="K36" s="21" t="n">
        <f aca="false">J36*I36</f>
        <v>0.416</v>
      </c>
      <c r="L36" s="24" t="n">
        <f aca="false">ROUND(K36,0) + 2</f>
        <v>2</v>
      </c>
      <c r="M36" s="10" t="n">
        <f aca="false">L36/I36</f>
        <v>0.00480769230769231</v>
      </c>
      <c r="N36" s="10"/>
      <c r="U36" s="1" t="n">
        <v>420</v>
      </c>
      <c r="V36" s="1"/>
    </row>
    <row r="37" customFormat="false" ht="15.75" hidden="false" customHeight="false" outlineLevel="0" collapsed="false">
      <c r="B37" s="1" t="n">
        <v>100</v>
      </c>
      <c r="C37" s="5" t="n">
        <v>460</v>
      </c>
      <c r="D37" s="6" t="n">
        <f aca="false">SQRT((0.5*B37/5)^2 + ($D$6)^2 + (C37*$F$6)^2)</f>
        <v>17.0496334271444</v>
      </c>
      <c r="E37" s="7" t="n">
        <f aca="false">SQRT((0.5*B37/5)^2 + ($D$7)^2 + (C37*$F$6)^2)</f>
        <v>17.1592540630413</v>
      </c>
      <c r="F37" s="6" t="n">
        <f aca="false">E37/C37</f>
        <v>0.0373027262240029</v>
      </c>
      <c r="G37" s="2" t="s">
        <v>55</v>
      </c>
      <c r="I37" s="11" t="n">
        <v>456</v>
      </c>
      <c r="J37" s="3" t="n">
        <v>0.001</v>
      </c>
      <c r="K37" s="1" t="n">
        <f aca="false">J37*I37</f>
        <v>0.456</v>
      </c>
      <c r="L37" s="5" t="n">
        <f aca="false">ROUND(K37,0) +2</f>
        <v>2</v>
      </c>
      <c r="M37" s="10" t="n">
        <f aca="false">L37/I37</f>
        <v>0.0043859649122807</v>
      </c>
      <c r="N37" s="10"/>
      <c r="U37" s="1" t="n">
        <v>460</v>
      </c>
      <c r="V37" s="1"/>
    </row>
    <row r="38" customFormat="false" ht="15.75" hidden="false" customHeight="false" outlineLevel="0" collapsed="false">
      <c r="B38" s="1" t="n">
        <v>100</v>
      </c>
      <c r="C38" s="5" t="n">
        <v>500</v>
      </c>
      <c r="D38" s="6" t="n">
        <f aca="false">SQRT((0.5*B38/5)^2 + ($D$6)^2 + (C38*$F$6)^2)</f>
        <v>18.0346887968714</v>
      </c>
      <c r="E38" s="7" t="n">
        <f aca="false">SQRT((0.5*B38/5)^2 + ($D$7)^2 + (C38*$F$6)^2)</f>
        <v>18.1383571472171</v>
      </c>
      <c r="F38" s="6" t="n">
        <f aca="false">E38/C38</f>
        <v>0.0362767142944341</v>
      </c>
      <c r="G38" s="2" t="s">
        <v>56</v>
      </c>
      <c r="I38" s="11" t="n">
        <v>495</v>
      </c>
      <c r="J38" s="3" t="n">
        <v>0.001</v>
      </c>
      <c r="K38" s="1" t="n">
        <f aca="false">J38*I38</f>
        <v>0.495</v>
      </c>
      <c r="L38" s="5" t="n">
        <f aca="false">ROUND(K38,0) +2</f>
        <v>2</v>
      </c>
      <c r="M38" s="10" t="n">
        <f aca="false">L38/I38</f>
        <v>0.00404040404040404</v>
      </c>
      <c r="N38" s="10"/>
      <c r="U38" s="1" t="n">
        <v>500</v>
      </c>
      <c r="V38" s="1"/>
    </row>
    <row r="39" customFormat="false" ht="15.75" hidden="false" customHeight="false" outlineLevel="0" collapsed="false">
      <c r="B39" s="1" t="n">
        <v>100</v>
      </c>
      <c r="C39" s="5" t="n">
        <v>540</v>
      </c>
      <c r="D39" s="6" t="n">
        <f aca="false">SQRT((0.5*B39/5)^2 + ($D$6)^2 + (C39*$F$6)^2)</f>
        <v>19.0444217554643</v>
      </c>
      <c r="E39" s="7" t="n">
        <f aca="false">SQRT((0.5*B39/5)^2 + ($D$7)^2 + (C39*$F$6)^2)</f>
        <v>19.1426225998425</v>
      </c>
      <c r="F39" s="6" t="n">
        <f aca="false">E39/C39</f>
        <v>0.0354493011108194</v>
      </c>
      <c r="G39" s="2" t="s">
        <v>57</v>
      </c>
      <c r="I39" s="11" t="n">
        <v>535</v>
      </c>
      <c r="J39" s="3" t="n">
        <v>0.001</v>
      </c>
      <c r="K39" s="1" t="n">
        <f aca="false">J39*I39</f>
        <v>0.535</v>
      </c>
      <c r="L39" s="5" t="n">
        <f aca="false">ROUND(K39,0) +2</f>
        <v>3</v>
      </c>
      <c r="M39" s="10" t="n">
        <f aca="false">L39/I39</f>
        <v>0.00560747663551402</v>
      </c>
      <c r="N39" s="10"/>
      <c r="U39" s="1" t="n">
        <v>540</v>
      </c>
      <c r="V39" s="1"/>
    </row>
    <row r="40" customFormat="false" ht="15.75" hidden="false" customHeight="false" outlineLevel="0" collapsed="false">
      <c r="B40" s="1" t="n">
        <v>100</v>
      </c>
      <c r="C40" s="5" t="n">
        <v>580</v>
      </c>
      <c r="D40" s="6" t="n">
        <f aca="false">SQRT((0.5*B40/5)^2 + ($D$6)^2 + (C40*$F$6)^2)</f>
        <v>20.0751089660804</v>
      </c>
      <c r="E40" s="7" t="n">
        <f aca="false">SQRT((0.5*B40/5)^2 + ($D$7)^2 + (C40*$F$6)^2)</f>
        <v>20.1682919455268</v>
      </c>
      <c r="F40" s="6" t="n">
        <f aca="false">E40/C40</f>
        <v>0.03477291714746</v>
      </c>
      <c r="G40" s="2" t="s">
        <v>58</v>
      </c>
      <c r="I40" s="11" t="n">
        <v>575</v>
      </c>
      <c r="J40" s="3" t="n">
        <v>0.001</v>
      </c>
      <c r="K40" s="1" t="n">
        <f aca="false">J40*I40</f>
        <v>0.575</v>
      </c>
      <c r="L40" s="5" t="n">
        <f aca="false">ROUND(K40,0) +2</f>
        <v>3</v>
      </c>
      <c r="M40" s="10" t="n">
        <f aca="false">L40/I40</f>
        <v>0.00521739130434783</v>
      </c>
      <c r="N40" s="10"/>
      <c r="U40" s="1" t="n">
        <v>580</v>
      </c>
      <c r="V40" s="1"/>
    </row>
    <row r="41" customFormat="false" ht="15.75" hidden="false" customHeight="false" outlineLevel="0" collapsed="false">
      <c r="B41" s="1" t="n">
        <v>200</v>
      </c>
      <c r="C41" s="5" t="n">
        <v>600</v>
      </c>
      <c r="D41" s="6" t="n">
        <f aca="false">SQRT((0.5*B41/5)^2 + ($D$6)^2 + (C41*$F$6)^2)</f>
        <v>26.9118932815958</v>
      </c>
      <c r="E41" s="7" t="n">
        <f aca="false">SQRT((0.5*B41/5)^2 + ($D$7)^2 + (C41*$F$6)^2)</f>
        <v>26.9814751264641</v>
      </c>
      <c r="F41" s="6" t="n">
        <f aca="false">E41/C41</f>
        <v>0.0449691252107735</v>
      </c>
      <c r="G41" s="2" t="s">
        <v>59</v>
      </c>
      <c r="I41" s="11" t="n">
        <v>596</v>
      </c>
      <c r="J41" s="3" t="n">
        <v>0.001</v>
      </c>
      <c r="K41" s="1" t="n">
        <f aca="false">J41*I41</f>
        <v>0.596</v>
      </c>
      <c r="L41" s="5" t="n">
        <f aca="false">ROUND(K41,0) +2</f>
        <v>3</v>
      </c>
      <c r="M41" s="10" t="n">
        <f aca="false">L41/I41</f>
        <v>0.00503355704697987</v>
      </c>
      <c r="N41" s="10"/>
      <c r="U41" s="1" t="n">
        <v>600</v>
      </c>
      <c r="V41" s="1"/>
    </row>
    <row r="42" customFormat="false" ht="15.75" hidden="false" customHeight="false" outlineLevel="0" collapsed="false">
      <c r="B42" s="1" t="n">
        <v>200</v>
      </c>
      <c r="C42" s="5" t="n">
        <v>640</v>
      </c>
      <c r="D42" s="6" t="n">
        <f aca="false">SQRT((0.5*B42/5)^2 + ($D$6)^2 + (C42*$F$6)^2)</f>
        <v>27.7288658260665</v>
      </c>
      <c r="E42" s="7" t="n">
        <f aca="false">SQRT((0.5*B42/5)^2 + ($D$7)^2 + (C42*$F$6)^2)</f>
        <v>27.7964026449467</v>
      </c>
      <c r="F42" s="6" t="n">
        <f aca="false">E42/C42</f>
        <v>0.0434318791327292</v>
      </c>
      <c r="G42" s="2" t="s">
        <v>60</v>
      </c>
      <c r="I42" s="11" t="n">
        <v>637</v>
      </c>
      <c r="J42" s="3" t="n">
        <v>0.001</v>
      </c>
      <c r="K42" s="1" t="n">
        <f aca="false">J42*I42</f>
        <v>0.637</v>
      </c>
      <c r="L42" s="5" t="n">
        <f aca="false">ROUND(K42,0) +2</f>
        <v>3</v>
      </c>
      <c r="M42" s="10" t="n">
        <f aca="false">L42/I42</f>
        <v>0.00470957613814757</v>
      </c>
      <c r="N42" s="10"/>
      <c r="U42" s="1" t="n">
        <v>640</v>
      </c>
      <c r="V42" s="1"/>
    </row>
    <row r="43" customFormat="false" ht="15.75" hidden="false" customHeight="false" outlineLevel="0" collapsed="false">
      <c r="B43" s="1" t="n">
        <v>200</v>
      </c>
      <c r="C43" s="5" t="n">
        <v>680</v>
      </c>
      <c r="D43" s="6" t="n">
        <f aca="false">SQRT((0.5*B43/5)^2 + ($D$6)^2 + (C43*$F$6)^2)</f>
        <v>28.5728892483767</v>
      </c>
      <c r="E43" s="7" t="n">
        <f aca="false">SQRT((0.5*B43/5)^2 + ($D$7)^2 + (C43*$F$6)^2)</f>
        <v>28.63843571147</v>
      </c>
      <c r="F43" s="6" t="n">
        <f aca="false">E43/C43</f>
        <v>0.0421153466345147</v>
      </c>
      <c r="G43" s="2" t="s">
        <v>61</v>
      </c>
      <c r="I43" s="11" t="n">
        <v>676</v>
      </c>
      <c r="J43" s="3" t="n">
        <v>0.001</v>
      </c>
      <c r="K43" s="1" t="n">
        <f aca="false">J43*I43</f>
        <v>0.676</v>
      </c>
      <c r="L43" s="5" t="n">
        <f aca="false">ROUND(K43,0) +2</f>
        <v>3</v>
      </c>
      <c r="M43" s="10" t="n">
        <f aca="false">L43/I43</f>
        <v>0.00443786982248521</v>
      </c>
      <c r="N43" s="10"/>
      <c r="U43" s="1" t="n">
        <v>680</v>
      </c>
      <c r="V43" s="1"/>
    </row>
    <row r="44" customFormat="false" ht="15.75" hidden="false" customHeight="false" outlineLevel="0" collapsed="false">
      <c r="B44" s="1" t="n">
        <v>200</v>
      </c>
      <c r="C44" s="5" t="n">
        <v>720</v>
      </c>
      <c r="D44" s="6" t="n">
        <f aca="false">SQRT((0.5*B44/5)^2 + ($D$6)^2 + (C44*$F$6)^2)</f>
        <v>29.4416371827383</v>
      </c>
      <c r="E44" s="7" t="n">
        <f aca="false">SQRT((0.5*B44/5)^2 + ($D$7)^2 + (C44*$F$6)^2)</f>
        <v>29.505253769456</v>
      </c>
      <c r="F44" s="6" t="n">
        <f aca="false">E44/C44</f>
        <v>0.0409795191242445</v>
      </c>
      <c r="G44" s="2" t="s">
        <v>62</v>
      </c>
      <c r="I44" s="11" t="n">
        <v>715</v>
      </c>
      <c r="J44" s="3" t="n">
        <v>0.001</v>
      </c>
      <c r="K44" s="1" t="n">
        <f aca="false">J44*I44</f>
        <v>0.715</v>
      </c>
      <c r="L44" s="5" t="n">
        <f aca="false">ROUND(K44,0) +2</f>
        <v>3</v>
      </c>
      <c r="M44" s="10" t="n">
        <f aca="false">L44/I44</f>
        <v>0.0041958041958042</v>
      </c>
      <c r="N44" s="10"/>
      <c r="U44" s="1" t="n">
        <v>720</v>
      </c>
      <c r="V44" s="1"/>
    </row>
    <row r="45" customFormat="false" ht="15.75" hidden="false" customHeight="false" outlineLevel="0" collapsed="false">
      <c r="B45" s="1" t="n">
        <v>200</v>
      </c>
      <c r="C45" s="5" t="n">
        <v>760</v>
      </c>
      <c r="D45" s="6" t="n">
        <f aca="false">SQRT((0.5*B45/5)^2 + ($D$6)^2 + (C45*$F$6)^2)</f>
        <v>30.3329853459893</v>
      </c>
      <c r="E45" s="7" t="n">
        <f aca="false">SQRT((0.5*B45/5)^2 + ($D$7)^2 + (C45*$F$6)^2)</f>
        <v>30.3947363864206</v>
      </c>
      <c r="F45" s="6" t="n">
        <f aca="false">E45/C45</f>
        <v>0.0399930741926587</v>
      </c>
      <c r="G45" s="2" t="s">
        <v>63</v>
      </c>
      <c r="I45" s="11" t="n">
        <v>755</v>
      </c>
      <c r="J45" s="3" t="n">
        <v>0.001</v>
      </c>
      <c r="K45" s="1" t="n">
        <f aca="false">J45*I45</f>
        <v>0.755</v>
      </c>
      <c r="L45" s="5" t="n">
        <f aca="false">ROUND(K45,0) +2</f>
        <v>3</v>
      </c>
      <c r="M45" s="10" t="n">
        <f aca="false">L45/I45</f>
        <v>0.00397350993377483</v>
      </c>
      <c r="N45" s="10"/>
      <c r="U45" s="1" t="n">
        <v>760</v>
      </c>
      <c r="V45" s="1"/>
    </row>
    <row r="46" customFormat="false" ht="15.75" hidden="false" customHeight="false" outlineLevel="0" collapsed="false">
      <c r="B46" s="1" t="n">
        <v>200</v>
      </c>
      <c r="C46" s="5" t="n">
        <v>800</v>
      </c>
      <c r="D46" s="6" t="n">
        <f aca="false">SQRT((0.5*B46/5)^2 + ($D$6)^2 + (C46*$F$6)^2)</f>
        <v>31.244999599936</v>
      </c>
      <c r="E46" s="7" t="n">
        <f aca="false">SQRT((0.5*B46/5)^2 + ($D$7)^2 + (C46*$F$6)^2)</f>
        <v>31.3049516849971</v>
      </c>
      <c r="F46" s="6" t="n">
        <f aca="false">E46/C46</f>
        <v>0.0391311896062463</v>
      </c>
      <c r="G46" s="2" t="s">
        <v>64</v>
      </c>
      <c r="I46" s="11" t="n">
        <v>796</v>
      </c>
      <c r="J46" s="3" t="n">
        <v>0.001</v>
      </c>
      <c r="K46" s="1" t="n">
        <f aca="false">J46*I46</f>
        <v>0.796</v>
      </c>
      <c r="L46" s="5" t="n">
        <f aca="false">ROUND(K46,0) +2</f>
        <v>3</v>
      </c>
      <c r="M46" s="10" t="n">
        <f aca="false">L46/I46</f>
        <v>0.00376884422110553</v>
      </c>
      <c r="N46" s="10"/>
      <c r="U46" s="1" t="n">
        <v>800</v>
      </c>
      <c r="V46" s="1"/>
    </row>
    <row r="51" customFormat="false" ht="15.75" hidden="false" customHeight="false" outlineLevel="0" collapsed="false">
      <c r="C51" s="1" t="s">
        <v>65</v>
      </c>
      <c r="D51" s="1" t="s">
        <v>66</v>
      </c>
      <c r="E51" s="1" t="s">
        <v>67</v>
      </c>
      <c r="F51" s="1" t="s">
        <v>68</v>
      </c>
    </row>
    <row r="52" customFormat="false" ht="15.75" hidden="false" customHeight="false" outlineLevel="0" collapsed="false">
      <c r="C52" s="9" t="s">
        <v>19</v>
      </c>
      <c r="D52" s="5" t="n">
        <v>5</v>
      </c>
      <c r="E52" s="1" t="n">
        <v>0.2</v>
      </c>
      <c r="F52" s="1" t="n">
        <v>2.06700266085944</v>
      </c>
    </row>
    <row r="53" customFormat="false" ht="15.75" hidden="false" customHeight="false" outlineLevel="0" collapsed="false">
      <c r="C53" s="9" t="s">
        <v>21</v>
      </c>
      <c r="D53" s="5" t="n">
        <v>10</v>
      </c>
      <c r="E53" s="1" t="n">
        <v>0.2</v>
      </c>
      <c r="F53" s="1" t="n">
        <v>2.08326666559997</v>
      </c>
    </row>
    <row r="54" customFormat="false" ht="15.75" hidden="false" customHeight="false" outlineLevel="0" collapsed="false">
      <c r="C54" s="9" t="s">
        <v>22</v>
      </c>
      <c r="D54" s="5" t="n">
        <v>15</v>
      </c>
      <c r="E54" s="1" t="n">
        <v>0.2</v>
      </c>
      <c r="F54" s="1" t="n">
        <v>2.11009478460092</v>
      </c>
    </row>
    <row r="55" customFormat="false" ht="15.75" hidden="false" customHeight="false" outlineLevel="0" collapsed="false">
      <c r="C55" s="9" t="s">
        <v>23</v>
      </c>
      <c r="D55" s="5" t="n">
        <v>20</v>
      </c>
      <c r="E55" s="1" t="n">
        <v>0.3</v>
      </c>
      <c r="F55" s="1" t="n">
        <v>2.14709105535839</v>
      </c>
    </row>
    <row r="56" customFormat="false" ht="15.75" hidden="false" customHeight="false" outlineLevel="0" collapsed="false">
      <c r="C56" s="9" t="s">
        <v>24</v>
      </c>
      <c r="D56" s="5" t="n">
        <v>25</v>
      </c>
      <c r="E56" s="1" t="n">
        <v>0.3</v>
      </c>
      <c r="F56" s="1" t="n">
        <v>2.19374109684803</v>
      </c>
    </row>
    <row r="57" customFormat="false" ht="15.75" hidden="false" customHeight="false" outlineLevel="0" collapsed="false">
      <c r="C57" s="9" t="s">
        <v>25</v>
      </c>
      <c r="D57" s="5" t="n">
        <v>30</v>
      </c>
      <c r="E57" s="1" t="n">
        <v>0.3</v>
      </c>
      <c r="F57" s="1" t="n">
        <v>2.41039415863879</v>
      </c>
    </row>
    <row r="58" customFormat="false" ht="15.75" hidden="false" customHeight="false" outlineLevel="0" collapsed="false">
      <c r="C58" s="9" t="s">
        <v>26</v>
      </c>
      <c r="D58" s="5" t="n">
        <v>40</v>
      </c>
      <c r="E58" s="1" t="n">
        <v>0.3</v>
      </c>
      <c r="F58" s="1" t="n">
        <v>2.5377155080899</v>
      </c>
    </row>
    <row r="59" customFormat="false" ht="15.75" hidden="false" customHeight="false" outlineLevel="0" collapsed="false">
      <c r="C59" s="9" t="s">
        <v>27</v>
      </c>
      <c r="D59" s="5" t="n">
        <v>50</v>
      </c>
      <c r="E59" s="1" t="n">
        <v>0.3</v>
      </c>
      <c r="F59" s="1" t="n">
        <v>2.69258240356725</v>
      </c>
    </row>
    <row r="60" customFormat="false" ht="15.75" hidden="false" customHeight="false" outlineLevel="0" collapsed="false">
      <c r="C60" s="9" t="s">
        <v>28</v>
      </c>
      <c r="D60" s="5" t="n">
        <v>60</v>
      </c>
      <c r="E60" s="1" t="n">
        <v>0.4</v>
      </c>
      <c r="F60" s="1" t="n">
        <v>3.35261092284804</v>
      </c>
    </row>
    <row r="61" customFormat="false" ht="15.75" hidden="false" customHeight="false" outlineLevel="0" collapsed="false">
      <c r="C61" s="9" t="s">
        <v>29</v>
      </c>
      <c r="D61" s="5" t="n">
        <v>80</v>
      </c>
      <c r="E61" s="1" t="n">
        <v>0.4</v>
      </c>
      <c r="F61" s="1" t="n">
        <v>3.70944739819828</v>
      </c>
    </row>
    <row r="62" customFormat="false" ht="15.75" hidden="false" customHeight="false" outlineLevel="0" collapsed="false">
      <c r="C62" s="9" t="s">
        <v>30</v>
      </c>
      <c r="D62" s="5" t="n">
        <v>100</v>
      </c>
      <c r="E62" s="1" t="n">
        <v>0.5</v>
      </c>
      <c r="F62" s="1" t="n">
        <v>4.12310562561766</v>
      </c>
    </row>
    <row r="63" customFormat="false" ht="15.75" hidden="false" customHeight="false" outlineLevel="0" collapsed="false">
      <c r="C63" s="17" t="s">
        <v>31</v>
      </c>
      <c r="D63" s="13" t="n">
        <v>120</v>
      </c>
      <c r="E63" s="1" t="n">
        <v>0.6</v>
      </c>
      <c r="F63" s="1" t="n">
        <v>4.57820925690384</v>
      </c>
    </row>
    <row r="64" customFormat="false" ht="15.75" hidden="false" customHeight="false" outlineLevel="0" collapsed="false">
      <c r="C64" s="11" t="n">
        <v>97.4</v>
      </c>
      <c r="D64" s="5" t="n">
        <v>100</v>
      </c>
      <c r="E64" s="1" t="n">
        <v>0.5</v>
      </c>
      <c r="F64" s="1" t="n">
        <v>4.12310562561766</v>
      </c>
    </row>
    <row r="65" customFormat="false" ht="15.75" hidden="false" customHeight="false" outlineLevel="0" collapsed="false">
      <c r="C65" s="11" t="n">
        <v>118.8</v>
      </c>
      <c r="D65" s="5" t="n">
        <v>120</v>
      </c>
      <c r="E65" s="1" t="n">
        <v>0.6</v>
      </c>
      <c r="F65" s="1" t="n">
        <v>6.47765389628066</v>
      </c>
    </row>
    <row r="66" customFormat="false" ht="15.75" hidden="false" customHeight="false" outlineLevel="0" collapsed="false">
      <c r="C66" s="11" t="n">
        <v>139</v>
      </c>
      <c r="D66" s="5" t="n">
        <v>140</v>
      </c>
      <c r="E66" s="1" t="n">
        <v>0.6</v>
      </c>
      <c r="F66" s="1" t="n">
        <v>6.82934843158555</v>
      </c>
    </row>
    <row r="67" customFormat="false" ht="15.75" hidden="false" customHeight="false" outlineLevel="0" collapsed="false">
      <c r="C67" s="11" t="n">
        <v>147.4</v>
      </c>
      <c r="D67" s="5" t="n">
        <v>150</v>
      </c>
      <c r="E67" s="1" t="n">
        <v>0.6</v>
      </c>
      <c r="F67" s="1" t="n">
        <v>7.0178344238091</v>
      </c>
    </row>
    <row r="68" customFormat="false" ht="15.75" hidden="false" customHeight="false" outlineLevel="0" collapsed="false">
      <c r="C68" s="11" t="n">
        <v>159.2</v>
      </c>
      <c r="D68" s="5" t="n">
        <v>160</v>
      </c>
      <c r="E68" s="1" t="n">
        <v>0.7</v>
      </c>
      <c r="F68" s="1" t="n">
        <v>7.21387551874857</v>
      </c>
    </row>
    <row r="69" customFormat="false" ht="15.75" hidden="false" customHeight="false" outlineLevel="0" collapsed="false">
      <c r="C69" s="11" t="n">
        <v>179</v>
      </c>
      <c r="D69" s="5" t="n">
        <v>180</v>
      </c>
      <c r="E69" s="1" t="n">
        <v>0.7</v>
      </c>
      <c r="F69" s="1" t="n">
        <v>7.62627038597505</v>
      </c>
    </row>
    <row r="70" customFormat="false" ht="15.75" hidden="false" customHeight="false" outlineLevel="0" collapsed="false">
      <c r="C70" s="11" t="n">
        <v>198.1</v>
      </c>
      <c r="D70" s="5" t="n">
        <v>200</v>
      </c>
      <c r="E70" s="1" t="n">
        <v>0.8</v>
      </c>
      <c r="F70" s="1" t="n">
        <v>8.06225774829855</v>
      </c>
    </row>
    <row r="71" customFormat="false" ht="15.75" hidden="false" customHeight="false" outlineLevel="0" collapsed="false">
      <c r="C71" s="11" t="n">
        <v>217.5</v>
      </c>
      <c r="D71" s="5" t="n">
        <v>220</v>
      </c>
      <c r="E71" s="1" t="n">
        <v>0.9</v>
      </c>
      <c r="F71" s="1" t="n">
        <v>8.51821577561874</v>
      </c>
    </row>
    <row r="72" customFormat="false" ht="15.75" hidden="false" customHeight="false" outlineLevel="0" collapsed="false">
      <c r="C72" s="11" t="n">
        <v>237.3</v>
      </c>
      <c r="D72" s="5" t="n">
        <v>240</v>
      </c>
      <c r="E72" s="1" t="n">
        <v>0.9</v>
      </c>
      <c r="F72" s="1" t="n">
        <v>8.99110671719561</v>
      </c>
    </row>
    <row r="73" customFormat="false" ht="15.75" hidden="false" customHeight="false" outlineLevel="0" collapsed="false">
      <c r="C73" s="11" t="n">
        <v>257</v>
      </c>
      <c r="D73" s="5" t="n">
        <v>260</v>
      </c>
      <c r="E73" s="1" t="n">
        <v>1</v>
      </c>
      <c r="F73" s="1" t="n">
        <v>9.47839648885823</v>
      </c>
    </row>
    <row r="74" customFormat="false" ht="15.75" hidden="false" customHeight="false" outlineLevel="0" collapsed="false">
      <c r="C74" s="11" t="n">
        <v>276.8</v>
      </c>
      <c r="D74" s="5" t="n">
        <v>280</v>
      </c>
      <c r="E74" s="1" t="n">
        <v>1</v>
      </c>
      <c r="F74" s="1" t="n">
        <v>9.97797574661314</v>
      </c>
    </row>
    <row r="75" customFormat="false" ht="15.75" hidden="false" customHeight="false" outlineLevel="0" collapsed="false">
      <c r="C75" s="11" t="n">
        <v>296.9</v>
      </c>
      <c r="D75" s="5" t="n">
        <v>300</v>
      </c>
      <c r="E75" s="1" t="n">
        <v>1.1</v>
      </c>
      <c r="F75" s="1" t="n">
        <v>10.4880884817015</v>
      </c>
    </row>
    <row r="76" customFormat="false" ht="15.75" hidden="false" customHeight="false" outlineLevel="0" collapsed="false">
      <c r="C76" s="11" t="n">
        <v>336.9</v>
      </c>
      <c r="D76" s="5" t="n">
        <v>340</v>
      </c>
      <c r="E76" s="1" t="n">
        <v>1.2</v>
      </c>
      <c r="F76" s="1" t="n">
        <v>14.4235917856822</v>
      </c>
    </row>
    <row r="77" customFormat="false" ht="15.75" hidden="false" customHeight="false" outlineLevel="0" collapsed="false">
      <c r="C77" s="11" t="n">
        <v>377.1</v>
      </c>
      <c r="D77" s="5" t="n">
        <v>380</v>
      </c>
      <c r="E77" s="1" t="n">
        <v>1.3</v>
      </c>
      <c r="F77" s="1" t="n">
        <v>15.2957510439991</v>
      </c>
    </row>
    <row r="78" customFormat="false" ht="15.75" hidden="false" customHeight="false" outlineLevel="0" collapsed="false">
      <c r="C78" s="22" t="n">
        <v>416</v>
      </c>
      <c r="D78" s="5" t="n">
        <v>420</v>
      </c>
      <c r="E78" s="1" t="n">
        <v>2</v>
      </c>
      <c r="F78" s="1" t="n">
        <v>16.2098735343617</v>
      </c>
    </row>
    <row r="79" customFormat="false" ht="15.75" hidden="false" customHeight="false" outlineLevel="0" collapsed="false">
      <c r="C79" s="11" t="n">
        <v>456</v>
      </c>
      <c r="D79" s="5" t="n">
        <v>460</v>
      </c>
      <c r="E79" s="1" t="n">
        <v>2</v>
      </c>
      <c r="F79" s="1" t="n">
        <v>17.1592540630413</v>
      </c>
    </row>
    <row r="80" customFormat="false" ht="15.75" hidden="false" customHeight="false" outlineLevel="0" collapsed="false">
      <c r="C80" s="11" t="n">
        <v>495</v>
      </c>
      <c r="D80" s="5" t="n">
        <v>500</v>
      </c>
      <c r="E80" s="1" t="n">
        <v>2</v>
      </c>
      <c r="F80" s="1" t="n">
        <v>18.1383571472171</v>
      </c>
    </row>
    <row r="81" customFormat="false" ht="15.75" hidden="false" customHeight="false" outlineLevel="0" collapsed="false">
      <c r="C81" s="11" t="n">
        <v>535</v>
      </c>
      <c r="D81" s="5" t="n">
        <v>540</v>
      </c>
      <c r="E81" s="1" t="n">
        <v>3</v>
      </c>
      <c r="F81" s="1" t="n">
        <v>19.1426225998425</v>
      </c>
    </row>
    <row r="82" customFormat="false" ht="15.75" hidden="false" customHeight="false" outlineLevel="0" collapsed="false">
      <c r="C82" s="11" t="n">
        <v>575</v>
      </c>
      <c r="D82" s="5" t="n">
        <v>580</v>
      </c>
      <c r="E82" s="1" t="n">
        <v>3</v>
      </c>
      <c r="F82" s="1" t="n">
        <v>20.1682919455268</v>
      </c>
    </row>
    <row r="83" customFormat="false" ht="15.75" hidden="false" customHeight="false" outlineLevel="0" collapsed="false">
      <c r="C83" s="11" t="n">
        <v>596</v>
      </c>
      <c r="D83" s="5" t="n">
        <v>600</v>
      </c>
      <c r="E83" s="1" t="n">
        <v>3</v>
      </c>
      <c r="F83" s="1" t="n">
        <v>26.9814751264641</v>
      </c>
    </row>
    <row r="84" customFormat="false" ht="15.75" hidden="false" customHeight="false" outlineLevel="0" collapsed="false">
      <c r="C84" s="11" t="n">
        <v>637</v>
      </c>
      <c r="D84" s="5" t="n">
        <v>640</v>
      </c>
      <c r="E84" s="1" t="n">
        <v>3</v>
      </c>
      <c r="F84" s="1" t="n">
        <v>27.7964026449467</v>
      </c>
    </row>
    <row r="85" customFormat="false" ht="15.75" hidden="false" customHeight="false" outlineLevel="0" collapsed="false">
      <c r="C85" s="11" t="n">
        <v>676</v>
      </c>
      <c r="D85" s="5" t="n">
        <v>680</v>
      </c>
      <c r="E85" s="1" t="n">
        <v>3</v>
      </c>
      <c r="F85" s="1" t="n">
        <v>28.63843571147</v>
      </c>
    </row>
    <row r="86" customFormat="false" ht="15.75" hidden="false" customHeight="false" outlineLevel="0" collapsed="false">
      <c r="C86" s="11" t="n">
        <v>715</v>
      </c>
      <c r="D86" s="5" t="n">
        <v>720</v>
      </c>
      <c r="E86" s="1" t="n">
        <v>3</v>
      </c>
      <c r="F86" s="1" t="n">
        <v>29.505253769456</v>
      </c>
    </row>
    <row r="87" customFormat="false" ht="15.75" hidden="false" customHeight="false" outlineLevel="0" collapsed="false">
      <c r="C87" s="11" t="n">
        <v>755</v>
      </c>
      <c r="D87" s="5" t="n">
        <v>760</v>
      </c>
      <c r="E87" s="1" t="n">
        <v>3</v>
      </c>
      <c r="F87" s="1" t="n">
        <v>30.3947363864206</v>
      </c>
    </row>
    <row r="88" customFormat="false" ht="15.75" hidden="false" customHeight="false" outlineLevel="0" collapsed="false">
      <c r="C88" s="11" t="n">
        <v>796</v>
      </c>
      <c r="D88" s="5" t="n">
        <v>800</v>
      </c>
      <c r="E88" s="1" t="n">
        <v>3</v>
      </c>
      <c r="F88" s="1" t="n">
        <v>31.3049516849971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51"/>
  <sheetViews>
    <sheetView showFormulas="false" showGridLines="tru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G12" activeCellId="0" sqref="G12"/>
    </sheetView>
  </sheetViews>
  <sheetFormatPr defaultColWidth="10.55078125" defaultRowHeight="15.75" zeroHeight="false" outlineLevelRow="0" outlineLevelCol="0"/>
  <cols>
    <col collapsed="false" customWidth="false" hidden="false" outlineLevel="0" max="2" min="1" style="1" width="10.55"/>
    <col collapsed="false" customWidth="true" hidden="false" outlineLevel="0" max="3" min="3" style="1" width="16.04"/>
    <col collapsed="false" customWidth="true" hidden="false" outlineLevel="0" max="4" min="4" style="1" width="18.24"/>
    <col collapsed="false" customWidth="true" hidden="false" outlineLevel="0" max="5" min="5" style="1" width="13.61"/>
    <col collapsed="false" customWidth="true" hidden="false" outlineLevel="0" max="6" min="6" style="2" width="13.61"/>
    <col collapsed="false" customWidth="true" hidden="false" outlineLevel="0" max="7" min="7" style="1" width="25.27"/>
    <col collapsed="false" customWidth="false" hidden="false" outlineLevel="0" max="9" min="8" style="1" width="10.55"/>
    <col collapsed="false" customWidth="true" hidden="false" outlineLevel="0" max="10" min="10" style="1" width="9.34"/>
    <col collapsed="false" customWidth="false" hidden="false" outlineLevel="0" max="16384" min="11" style="1" width="10.55"/>
  </cols>
  <sheetData>
    <row r="3" customFormat="false" ht="15.75" hidden="false" customHeight="false" outlineLevel="0" collapsed="false">
      <c r="B3" s="1" t="s">
        <v>69</v>
      </c>
      <c r="C3" s="1" t="s">
        <v>70</v>
      </c>
      <c r="G3" s="25" t="s">
        <v>71</v>
      </c>
      <c r="H3" s="25"/>
      <c r="I3" s="25"/>
      <c r="J3" s="25"/>
      <c r="K3" s="25"/>
    </row>
    <row r="4" customFormat="false" ht="15.75" hidden="false" customHeight="false" outlineLevel="0" collapsed="false">
      <c r="C4" s="1" t="s">
        <v>72</v>
      </c>
    </row>
    <row r="5" customFormat="false" ht="15.75" hidden="false" customHeight="false" outlineLevel="0" collapsed="false">
      <c r="G5" s="1" t="s">
        <v>73</v>
      </c>
    </row>
    <row r="7" customFormat="false" ht="15.75" hidden="false" customHeight="false" outlineLevel="0" collapsed="false">
      <c r="D7" s="1" t="s">
        <v>4</v>
      </c>
      <c r="F7" s="1" t="n">
        <f aca="false">0.5*(5/5)</f>
        <v>0.5</v>
      </c>
      <c r="G7" s="2" t="s">
        <v>5</v>
      </c>
      <c r="H7" s="1" t="n">
        <v>0.03</v>
      </c>
    </row>
    <row r="9" customFormat="false" ht="15.75" hidden="false" customHeight="false" outlineLevel="0" collapsed="false">
      <c r="B9" s="1" t="s">
        <v>74</v>
      </c>
      <c r="C9" s="5" t="s">
        <v>75</v>
      </c>
      <c r="D9" s="5" t="s">
        <v>76</v>
      </c>
      <c r="E9" s="1" t="s">
        <v>77</v>
      </c>
      <c r="F9" s="2" t="s">
        <v>37</v>
      </c>
      <c r="G9" s="1" t="s">
        <v>78</v>
      </c>
    </row>
    <row r="10" customFormat="false" ht="15.75" hidden="false" customHeight="false" outlineLevel="0" collapsed="false">
      <c r="B10" s="1" t="n">
        <v>20</v>
      </c>
      <c r="C10" s="5" t="n">
        <v>100</v>
      </c>
      <c r="D10" s="26" t="n">
        <f aca="false">SQRT((0.5*B10/5)^2 + ($F$7)^2 + (C10*$H$7)^2)</f>
        <v>3.64005494464026</v>
      </c>
      <c r="E10" s="10" t="n">
        <f aca="false">D10/C10</f>
        <v>0.0364005494464026</v>
      </c>
      <c r="F10" s="2" t="s">
        <v>79</v>
      </c>
      <c r="G10" s="1" t="s">
        <v>80</v>
      </c>
    </row>
    <row r="11" customFormat="false" ht="15.75" hidden="false" customHeight="false" outlineLevel="0" collapsed="false">
      <c r="B11" s="1" t="n">
        <v>20</v>
      </c>
      <c r="C11" s="5" t="n">
        <v>120</v>
      </c>
      <c r="D11" s="26" t="n">
        <f aca="false">SQRT((0.5*B11/5)^2 + ($F$7)^2 + (C11*$H$7)^2)</f>
        <v>4.14849370253831</v>
      </c>
      <c r="E11" s="10" t="n">
        <f aca="false">D11/C11</f>
        <v>0.0345707808544859</v>
      </c>
      <c r="F11" s="2" t="s">
        <v>79</v>
      </c>
      <c r="G11" s="1" t="s">
        <v>80</v>
      </c>
    </row>
    <row r="12" customFormat="false" ht="15.75" hidden="false" customHeight="false" outlineLevel="0" collapsed="false">
      <c r="B12" s="1" t="n">
        <v>50</v>
      </c>
      <c r="C12" s="5" t="n">
        <v>150</v>
      </c>
      <c r="D12" s="26" t="n">
        <f aca="false">SQRT((0.5*B12/5)^2 + ($F$7)^2 + (C12*$H$7)^2)</f>
        <v>6.74536878161602</v>
      </c>
      <c r="E12" s="10" t="n">
        <f aca="false">D12/C12</f>
        <v>0.0449691252107735</v>
      </c>
      <c r="F12" s="2" t="s">
        <v>79</v>
      </c>
      <c r="G12" s="1" t="s">
        <v>80</v>
      </c>
    </row>
    <row r="13" customFormat="false" ht="15.75" hidden="false" customHeight="false" outlineLevel="0" collapsed="false">
      <c r="B13" s="1" t="n">
        <v>50</v>
      </c>
      <c r="C13" s="5" t="n">
        <v>200</v>
      </c>
      <c r="D13" s="26" t="n">
        <f aca="false">SQRT((0.5*B13/5)^2 + ($F$7)^2 + (C13*$H$7)^2)</f>
        <v>7.82623792124926</v>
      </c>
      <c r="E13" s="10" t="n">
        <f aca="false">D13/C13</f>
        <v>0.0391311896062463</v>
      </c>
      <c r="F13" s="2" t="s">
        <v>79</v>
      </c>
      <c r="G13" s="1" t="s">
        <v>80</v>
      </c>
    </row>
    <row r="14" customFormat="false" ht="15.75" hidden="false" customHeight="false" outlineLevel="0" collapsed="false">
      <c r="B14" s="1" t="n">
        <v>50</v>
      </c>
      <c r="C14" s="5" t="n">
        <v>250</v>
      </c>
      <c r="D14" s="26" t="n">
        <f aca="false">SQRT((0.5*B14/5)^2 + ($F$7)^2 + (C14*$H$7)^2)</f>
        <v>9.02773504263389</v>
      </c>
      <c r="E14" s="10" t="n">
        <f aca="false">D14/C14</f>
        <v>0.0361109401705356</v>
      </c>
      <c r="F14" s="2" t="s">
        <v>79</v>
      </c>
      <c r="G14" s="1" t="s">
        <v>80</v>
      </c>
    </row>
    <row r="15" customFormat="false" ht="15.75" hidden="false" customHeight="false" outlineLevel="0" collapsed="false">
      <c r="B15" s="1" t="n">
        <v>50</v>
      </c>
      <c r="C15" s="5" t="n">
        <v>300</v>
      </c>
      <c r="D15" s="26" t="n">
        <f aca="false">SQRT((0.5*B15/5)^2 + ($F$7)^2 + (C15*$H$7)^2)</f>
        <v>10.3077640640442</v>
      </c>
      <c r="E15" s="10" t="n">
        <f aca="false">D15/C15</f>
        <v>0.0343592135468138</v>
      </c>
      <c r="F15" s="2" t="s">
        <v>81</v>
      </c>
      <c r="G15" s="1" t="s">
        <v>80</v>
      </c>
    </row>
    <row r="16" customFormat="false" ht="15.75" hidden="false" customHeight="false" outlineLevel="0" collapsed="false">
      <c r="B16" s="1" t="n">
        <v>50</v>
      </c>
      <c r="C16" s="5" t="n">
        <v>330</v>
      </c>
      <c r="D16" s="26" t="n">
        <f aca="false">SQRT((0.5*B16/5)^2 + ($F$7)^2 + (C16*$H$7)^2)</f>
        <v>11.1022520238013</v>
      </c>
      <c r="E16" s="10" t="n">
        <f aca="false">D16/C16</f>
        <v>0.033643187950913</v>
      </c>
      <c r="F16" s="2" t="s">
        <v>82</v>
      </c>
      <c r="G16" s="1" t="s">
        <v>80</v>
      </c>
    </row>
    <row r="17" customFormat="false" ht="15.75" hidden="false" customHeight="false" outlineLevel="0" collapsed="false">
      <c r="B17" s="1" t="n">
        <v>100</v>
      </c>
      <c r="C17" s="5" t="n">
        <v>340</v>
      </c>
      <c r="D17" s="26" t="n">
        <f aca="false">SQRT((0.5*B17/5)^2 + ($F$7)^2 + (C17*$H$7)^2)</f>
        <v>14.293005282305</v>
      </c>
      <c r="E17" s="10" t="n">
        <f aca="false">D17/C17</f>
        <v>0.042038250830309</v>
      </c>
      <c r="F17" s="2" t="s">
        <v>83</v>
      </c>
      <c r="G17" s="1" t="s">
        <v>80</v>
      </c>
    </row>
    <row r="18" customFormat="false" ht="15.75" hidden="false" customHeight="false" outlineLevel="0" collapsed="false">
      <c r="B18" s="1" t="n">
        <v>100</v>
      </c>
      <c r="C18" s="5" t="n">
        <v>360</v>
      </c>
      <c r="D18" s="26" t="n">
        <f aca="false">SQRT((0.5*B18/5)^2 + ($F$7)^2 + (C18*$H$7)^2)</f>
        <v>14.7271857460956</v>
      </c>
      <c r="E18" s="10" t="n">
        <f aca="false">D18/C18</f>
        <v>0.0409088492947099</v>
      </c>
      <c r="F18" s="2" t="s">
        <v>84</v>
      </c>
      <c r="G18" s="1" t="s">
        <v>80</v>
      </c>
    </row>
    <row r="19" customFormat="false" ht="15.75" hidden="false" customHeight="false" outlineLevel="0" collapsed="false">
      <c r="B19" s="1" t="n">
        <v>100</v>
      </c>
      <c r="C19" s="5" t="n">
        <v>380</v>
      </c>
      <c r="D19" s="26" t="n">
        <f aca="false">SQRT((0.5*B19/5)^2 + ($F$7)^2 + (C19*$H$7)^2)</f>
        <v>15.1726728034318</v>
      </c>
      <c r="E19" s="10" t="n">
        <f aca="false">D19/C19</f>
        <v>0.0399280863248206</v>
      </c>
      <c r="F19" s="2" t="s">
        <v>85</v>
      </c>
      <c r="G19" s="1" t="s">
        <v>80</v>
      </c>
    </row>
    <row r="20" customFormat="false" ht="15.75" hidden="false" customHeight="false" outlineLevel="0" collapsed="false">
      <c r="B20" s="1" t="n">
        <v>100</v>
      </c>
      <c r="C20" s="5" t="n">
        <v>400</v>
      </c>
      <c r="D20" s="26" t="n">
        <f aca="false">SQRT((0.5*B20/5)^2 + ($F$7)^2 + (C20*$H$7)^2)</f>
        <v>15.6284996080878</v>
      </c>
      <c r="E20" s="10" t="n">
        <f aca="false">D20/C20</f>
        <v>0.0390712490202195</v>
      </c>
      <c r="F20" s="2" t="s">
        <v>86</v>
      </c>
      <c r="G20" s="1" t="s">
        <v>80</v>
      </c>
    </row>
    <row r="21" customFormat="false" ht="15.75" hidden="false" customHeight="false" outlineLevel="0" collapsed="false">
      <c r="B21" s="1" t="n">
        <v>100</v>
      </c>
      <c r="C21" s="5" t="n">
        <v>410</v>
      </c>
      <c r="D21" s="26" t="n">
        <f aca="false">SQRT((0.5*B21/5)^2 + ($F$7)^2 + (C21*$H$7)^2)</f>
        <v>15.8600126103355</v>
      </c>
      <c r="E21" s="10" t="n">
        <f aca="false">D21/C21</f>
        <v>0.0386829575861841</v>
      </c>
      <c r="F21" s="2" t="s">
        <v>87</v>
      </c>
      <c r="G21" s="1" t="s">
        <v>80</v>
      </c>
    </row>
    <row r="22" customFormat="false" ht="15.75" hidden="false" customHeight="false" outlineLevel="0" collapsed="false">
      <c r="B22" s="1" t="n">
        <v>100</v>
      </c>
      <c r="C22" s="5" t="n">
        <v>420</v>
      </c>
      <c r="D22" s="26" t="n">
        <f aca="false">SQRT((0.5*B22/5)^2 + ($F$7)^2 + (C22*$H$7)^2)</f>
        <v>16.0937876213153</v>
      </c>
      <c r="E22" s="10" t="n">
        <f aca="false">D22/C22</f>
        <v>0.0383185419555125</v>
      </c>
      <c r="F22" s="2" t="s">
        <v>88</v>
      </c>
      <c r="G22" s="1" t="s">
        <v>80</v>
      </c>
    </row>
    <row r="23" customFormat="false" ht="15.75" hidden="false" customHeight="false" outlineLevel="0" collapsed="false">
      <c r="B23" s="1" t="n">
        <v>100</v>
      </c>
      <c r="C23" s="5" t="n">
        <v>430</v>
      </c>
      <c r="D23" s="26" t="n">
        <f aca="false">SQRT((0.5*B23/5)^2 + ($F$7)^2 + (C23*$H$7)^2)</f>
        <v>16.3297274931335</v>
      </c>
      <c r="E23" s="10" t="n">
        <f aca="false">D23/C23</f>
        <v>0.0379761104491477</v>
      </c>
      <c r="F23" s="2" t="s">
        <v>89</v>
      </c>
      <c r="G23" s="1" t="s">
        <v>80</v>
      </c>
    </row>
    <row r="24" customFormat="false" ht="15.75" hidden="false" customHeight="false" outlineLevel="0" collapsed="false">
      <c r="B24" s="1" t="n">
        <v>100</v>
      </c>
      <c r="C24" s="5" t="n">
        <v>440</v>
      </c>
      <c r="D24" s="26" t="n">
        <f aca="false">SQRT((0.5*B24/5)^2 + ($F$7)^2 + (C24*$H$7)^2)</f>
        <v>16.5677397372122</v>
      </c>
      <c r="E24" s="10" t="n">
        <f aca="false">D24/C24</f>
        <v>0.0376539539482095</v>
      </c>
      <c r="F24" s="2" t="s">
        <v>90</v>
      </c>
      <c r="G24" s="1" t="s">
        <v>80</v>
      </c>
    </row>
    <row r="25" customFormat="false" ht="15.75" hidden="false" customHeight="false" outlineLevel="0" collapsed="false">
      <c r="B25" s="1" t="n">
        <v>100</v>
      </c>
      <c r="C25" s="5" t="n">
        <v>450</v>
      </c>
      <c r="D25" s="26" t="n">
        <f aca="false">SQRT((0.5*B25/5)^2 + ($F$7)^2 + (C25*$H$7)^2)</f>
        <v>16.8077363139716</v>
      </c>
      <c r="E25" s="10" t="n">
        <f aca="false">D25/C25</f>
        <v>0.0373505251421591</v>
      </c>
      <c r="F25" s="2" t="s">
        <v>91</v>
      </c>
      <c r="G25" s="1" t="s">
        <v>80</v>
      </c>
    </row>
    <row r="26" customFormat="false" ht="15.75" hidden="false" customHeight="false" outlineLevel="0" collapsed="false">
      <c r="B26" s="1" t="n">
        <v>100</v>
      </c>
      <c r="C26" s="5" t="n">
        <v>460</v>
      </c>
      <c r="D26" s="26" t="n">
        <f aca="false">SQRT((0.5*B26/5)^2 + ($F$7)^2 + (C26*$H$7)^2)</f>
        <v>17.0496334271444</v>
      </c>
      <c r="E26" s="10" t="n">
        <f aca="false">D26/C26</f>
        <v>0.0370644204937922</v>
      </c>
      <c r="F26" s="2" t="s">
        <v>92</v>
      </c>
      <c r="G26" s="1" t="s">
        <v>80</v>
      </c>
    </row>
    <row r="27" customFormat="false" ht="15.75" hidden="false" customHeight="false" outlineLevel="0" collapsed="false">
      <c r="B27" s="1" t="n">
        <v>100</v>
      </c>
      <c r="C27" s="5" t="n">
        <v>470</v>
      </c>
      <c r="D27" s="26" t="n">
        <f aca="false">SQRT((0.5*B27/5)^2 + ($F$7)^2 + (C27*$H$7)^2)</f>
        <v>17.2933513235579</v>
      </c>
      <c r="E27" s="10" t="n">
        <f aca="false">D27/C27</f>
        <v>0.0367943645182082</v>
      </c>
      <c r="F27" s="2" t="s">
        <v>93</v>
      </c>
      <c r="G27" s="1" t="s">
        <v>80</v>
      </c>
    </row>
    <row r="28" customFormat="false" ht="15.75" hidden="false" customHeight="false" outlineLevel="0" collapsed="false">
      <c r="B28" s="1" t="n">
        <v>100</v>
      </c>
      <c r="C28" s="5" t="n">
        <v>480</v>
      </c>
      <c r="D28" s="26" t="n">
        <f aca="false">SQRT((0.5*B28/5)^2 + ($F$7)^2 + (C28*$H$7)^2)</f>
        <v>17.5388140990205</v>
      </c>
      <c r="E28" s="10" t="n">
        <f aca="false">D28/C28</f>
        <v>0.036539196039626</v>
      </c>
      <c r="F28" s="2" t="s">
        <v>94</v>
      </c>
      <c r="G28" s="1" t="s">
        <v>80</v>
      </c>
    </row>
    <row r="29" customFormat="false" ht="15.75" hidden="false" customHeight="false" outlineLevel="0" collapsed="false">
      <c r="B29" s="1" t="n">
        <v>100</v>
      </c>
      <c r="C29" s="5" t="n">
        <v>490</v>
      </c>
      <c r="D29" s="26" t="n">
        <f aca="false">SQRT((0.5*B29/5)^2 + ($F$7)^2 + (C29*$H$7)^2)</f>
        <v>17.7859495107796</v>
      </c>
      <c r="E29" s="10" t="n">
        <f aca="false">D29/C29</f>
        <v>0.0362978561444481</v>
      </c>
      <c r="F29" s="2" t="s">
        <v>95</v>
      </c>
      <c r="G29" s="1" t="s">
        <v>80</v>
      </c>
    </row>
    <row r="30" customFormat="false" ht="15.75" hidden="false" customHeight="false" outlineLevel="0" collapsed="false">
      <c r="B30" s="1" t="n">
        <v>100</v>
      </c>
      <c r="C30" s="5" t="n">
        <v>500</v>
      </c>
      <c r="D30" s="26" t="n">
        <f aca="false">SQRT((0.5*B30/5)^2 + ($F$7)^2 + (C30*$H$7)^2)</f>
        <v>18.0346887968714</v>
      </c>
      <c r="E30" s="10" t="n">
        <f aca="false">D30/C30</f>
        <v>0.0360693775937429</v>
      </c>
      <c r="F30" s="2" t="s">
        <v>96</v>
      </c>
      <c r="G30" s="1" t="s">
        <v>80</v>
      </c>
    </row>
    <row r="31" customFormat="false" ht="15.75" hidden="false" customHeight="false" outlineLevel="0" collapsed="false">
      <c r="B31" s="1" t="n">
        <v>100</v>
      </c>
      <c r="C31" s="5" t="n">
        <v>510</v>
      </c>
      <c r="D31" s="26" t="n">
        <f aca="false">SQRT((0.5*B31/5)^2 + ($F$7)^2 + (C31*$H$7)^2)</f>
        <v>18.2849665025671</v>
      </c>
      <c r="E31" s="10" t="n">
        <f aca="false">D31/C31</f>
        <v>0.0358528754952296</v>
      </c>
      <c r="F31" s="2" t="s">
        <v>97</v>
      </c>
      <c r="G31" s="1" t="s">
        <v>80</v>
      </c>
    </row>
    <row r="32" customFormat="false" ht="15.75" hidden="false" customHeight="false" outlineLevel="0" collapsed="false">
      <c r="B32" s="1" t="n">
        <v>100</v>
      </c>
      <c r="C32" s="5" t="n">
        <v>520</v>
      </c>
      <c r="D32" s="26" t="n">
        <f aca="false">SQRT((0.5*B32/5)^2 + ($F$7)^2 + (C32*$H$7)^2)</f>
        <v>18.5367203140146</v>
      </c>
      <c r="E32" s="10" t="n">
        <f aca="false">D32/C32</f>
        <v>0.0356475390654126</v>
      </c>
      <c r="F32" s="2" t="s">
        <v>98</v>
      </c>
      <c r="G32" s="1" t="s">
        <v>80</v>
      </c>
    </row>
    <row r="33" customFormat="false" ht="15.75" hidden="false" customHeight="false" outlineLevel="0" collapsed="false">
      <c r="B33" s="1" t="n">
        <v>100</v>
      </c>
      <c r="C33" s="5" t="n">
        <v>530</v>
      </c>
      <c r="D33" s="26" t="n">
        <f aca="false">SQRT((0.5*B33/5)^2 + ($F$7)^2 + (C33*$H$7)^2)</f>
        <v>18.7898908990978</v>
      </c>
      <c r="E33" s="10" t="n">
        <f aca="false">D33/C33</f>
        <v>0.0354526243379205</v>
      </c>
      <c r="F33" s="2" t="s">
        <v>99</v>
      </c>
      <c r="G33" s="1" t="s">
        <v>80</v>
      </c>
    </row>
    <row r="34" customFormat="false" ht="15.75" hidden="false" customHeight="false" outlineLevel="0" collapsed="false">
      <c r="B34" s="1" t="n">
        <v>100</v>
      </c>
      <c r="C34" s="5" t="n">
        <v>540</v>
      </c>
      <c r="D34" s="26" t="n">
        <f aca="false">SQRT((0.5*B34/5)^2 + ($F$7)^2 + (C34*$H$7)^2)</f>
        <v>19.0444217554643</v>
      </c>
      <c r="E34" s="10" t="n">
        <f aca="false">D34/C34</f>
        <v>0.0352674476953042</v>
      </c>
      <c r="F34" s="2" t="s">
        <v>100</v>
      </c>
      <c r="G34" s="1" t="s">
        <v>80</v>
      </c>
    </row>
    <row r="35" customFormat="false" ht="15.75" hidden="false" customHeight="false" outlineLevel="0" collapsed="false">
      <c r="B35" s="1" t="n">
        <v>100</v>
      </c>
      <c r="C35" s="5" t="n">
        <v>550</v>
      </c>
      <c r="D35" s="26" t="n">
        <f aca="false">SQRT((0.5*B35/5)^2 + ($F$7)^2 + (C35*$H$7)^2)</f>
        <v>19.3002590656188</v>
      </c>
      <c r="E35" s="10" t="n">
        <f aca="false">D35/C35</f>
        <v>0.0350913801193069</v>
      </c>
      <c r="F35" s="2" t="s">
        <v>101</v>
      </c>
      <c r="G35" s="1" t="s">
        <v>80</v>
      </c>
    </row>
    <row r="36" customFormat="false" ht="15.75" hidden="false" customHeight="false" outlineLevel="0" collapsed="false">
      <c r="B36" s="1" t="n">
        <v>100</v>
      </c>
      <c r="C36" s="5" t="n">
        <v>560</v>
      </c>
      <c r="D36" s="26" t="n">
        <f aca="false">SQRT((0.5*B36/5)^2 + ($F$7)^2 + (C36*$H$7)^2)</f>
        <v>19.5573515589407</v>
      </c>
      <c r="E36" s="10" t="n">
        <f aca="false">D36/C36</f>
        <v>0.034923842069537</v>
      </c>
      <c r="F36" s="2" t="s">
        <v>102</v>
      </c>
      <c r="G36" s="1" t="s">
        <v>80</v>
      </c>
    </row>
    <row r="37" customFormat="false" ht="15.75" hidden="false" customHeight="false" outlineLevel="0" collapsed="false">
      <c r="B37" s="1" t="n">
        <v>100</v>
      </c>
      <c r="C37" s="5" t="n">
        <v>570</v>
      </c>
      <c r="D37" s="26" t="n">
        <f aca="false">SQRT((0.5*B37/5)^2 + ($F$7)^2 + (C37*$H$7)^2)</f>
        <v>19.8156503804442</v>
      </c>
      <c r="E37" s="10" t="n">
        <f aca="false">D37/C37</f>
        <v>0.0347642989130601</v>
      </c>
      <c r="F37" s="2" t="s">
        <v>103</v>
      </c>
      <c r="G37" s="1" t="s">
        <v>80</v>
      </c>
    </row>
    <row r="38" customFormat="false" ht="15.75" hidden="false" customHeight="false" outlineLevel="0" collapsed="false">
      <c r="B38" s="1" t="n">
        <v>100</v>
      </c>
      <c r="C38" s="5" t="n">
        <v>580</v>
      </c>
      <c r="D38" s="26" t="n">
        <f aca="false">SQRT((0.5*B38/5)^2 + ($F$7)^2 + (C38*$H$7)^2)</f>
        <v>20.0751089660804</v>
      </c>
      <c r="E38" s="10" t="n">
        <f aca="false">D38/C38</f>
        <v>0.0346122568380696</v>
      </c>
      <c r="F38" s="2" t="s">
        <v>104</v>
      </c>
      <c r="G38" s="1" t="s">
        <v>80</v>
      </c>
    </row>
    <row r="39" customFormat="false" ht="15.75" hidden="false" customHeight="false" outlineLevel="0" collapsed="false">
      <c r="B39" s="1" t="n">
        <v>100</v>
      </c>
      <c r="C39" s="5" t="n">
        <v>590</v>
      </c>
      <c r="D39" s="26" t="n">
        <f aca="false">SQRT((0.5*B39/5)^2 + ($F$7)^2 + (C39*$H$7)^2)</f>
        <v>20.3356829243574</v>
      </c>
      <c r="E39" s="10" t="n">
        <f aca="false">D39/C39</f>
        <v>0.0344672591938261</v>
      </c>
      <c r="F39" s="2" t="s">
        <v>105</v>
      </c>
      <c r="G39" s="1" t="s">
        <v>80</v>
      </c>
    </row>
    <row r="40" customFormat="false" ht="15.75" hidden="false" customHeight="false" outlineLevel="0" collapsed="false">
      <c r="B40" s="1" t="n">
        <v>100</v>
      </c>
      <c r="C40" s="5" t="n">
        <v>600</v>
      </c>
      <c r="D40" s="26" t="n">
        <f aca="false">SQRT((0.5*B40/5)^2 + ($F$7)^2 + (C40*$H$7)^2)</f>
        <v>20.597329924046</v>
      </c>
      <c r="E40" s="10" t="n">
        <f aca="false">D40/C40</f>
        <v>0.0343288832067433</v>
      </c>
      <c r="F40" s="2" t="s">
        <v>106</v>
      </c>
      <c r="G40" s="1" t="s">
        <v>80</v>
      </c>
    </row>
    <row r="41" customFormat="false" ht="15.75" hidden="false" customHeight="false" outlineLevel="0" collapsed="false">
      <c r="B41" s="1" t="n">
        <v>100</v>
      </c>
      <c r="C41" s="5" t="n">
        <v>610</v>
      </c>
      <c r="D41" s="26" t="n">
        <f aca="false">SQRT((0.5*B41/5)^2 + ($F$7)^2 + (C41*$H$7)^2)</f>
        <v>20.8600095877255</v>
      </c>
      <c r="E41" s="10" t="n">
        <f aca="false">D41/C41</f>
        <v>0.0341967370290582</v>
      </c>
      <c r="F41" s="2" t="s">
        <v>107</v>
      </c>
      <c r="G41" s="1" t="s">
        <v>80</v>
      </c>
    </row>
    <row r="42" customFormat="false" ht="15.75" hidden="false" customHeight="false" outlineLevel="0" collapsed="false">
      <c r="B42" s="1" t="n">
        <v>100</v>
      </c>
      <c r="C42" s="5" t="n">
        <v>620</v>
      </c>
      <c r="D42" s="26" t="n">
        <f aca="false">SQRT((0.5*B42/5)^2 + ($F$7)^2 + (C42*$H$7)^2)</f>
        <v>21.123683390924</v>
      </c>
      <c r="E42" s="10" t="n">
        <f aca="false">D42/C42</f>
        <v>0.0340704570821355</v>
      </c>
      <c r="F42" s="2" t="s">
        <v>108</v>
      </c>
      <c r="G42" s="1" t="s">
        <v>80</v>
      </c>
    </row>
    <row r="43" customFormat="false" ht="15.75" hidden="false" customHeight="false" outlineLevel="0" collapsed="false">
      <c r="B43" s="1" t="n">
        <v>100</v>
      </c>
      <c r="C43" s="5" t="n">
        <v>630</v>
      </c>
      <c r="D43" s="26" t="n">
        <f aca="false">SQRT((0.5*B43/5)^2 + ($F$7)^2 + (C43*$H$7)^2)</f>
        <v>21.3883145666039</v>
      </c>
      <c r="E43" s="10" t="n">
        <f aca="false">D43/C43</f>
        <v>0.033949705661276</v>
      </c>
      <c r="F43" s="2" t="s">
        <v>109</v>
      </c>
      <c r="G43" s="1" t="s">
        <v>80</v>
      </c>
    </row>
    <row r="44" customFormat="false" ht="15.75" hidden="false" customHeight="false" outlineLevel="0" collapsed="false">
      <c r="B44" s="1" t="n">
        <v>100</v>
      </c>
      <c r="C44" s="5" t="n">
        <v>640</v>
      </c>
      <c r="D44" s="26" t="n">
        <f aca="false">SQRT((0.5*B44/5)^2 + ($F$7)^2 + (C44*$H$7)^2)</f>
        <v>21.6538680147451</v>
      </c>
      <c r="E44" s="10" t="n">
        <f aca="false">D44/C44</f>
        <v>0.0338341687730392</v>
      </c>
      <c r="F44" s="2" t="s">
        <v>110</v>
      </c>
      <c r="G44" s="1" t="s">
        <v>80</v>
      </c>
    </row>
    <row r="45" customFormat="false" ht="15.75" hidden="false" customHeight="false" outlineLevel="0" collapsed="false">
      <c r="B45" s="1" t="n">
        <v>200</v>
      </c>
      <c r="C45" s="5" t="n">
        <v>660</v>
      </c>
      <c r="D45" s="26" t="n">
        <f aca="false">SQRT((0.5*B45/5)^2 + ($F$7)^2 + (C45*$H$7)^2)</f>
        <v>28.1476464380239</v>
      </c>
      <c r="E45" s="10" t="n">
        <f aca="false">D45/C45</f>
        <v>0.0426479491485211</v>
      </c>
      <c r="F45" s="2" t="s">
        <v>111</v>
      </c>
      <c r="G45" s="1" t="s">
        <v>80</v>
      </c>
    </row>
    <row r="46" customFormat="false" ht="15.75" hidden="false" customHeight="false" outlineLevel="0" collapsed="false">
      <c r="B46" s="1" t="n">
        <v>200</v>
      </c>
      <c r="C46" s="5" t="n">
        <v>680</v>
      </c>
      <c r="D46" s="26" t="n">
        <f aca="false">SQRT((0.5*B46/5)^2 + ($F$7)^2 + (C46*$H$7)^2)</f>
        <v>28.5728892483767</v>
      </c>
      <c r="E46" s="10" t="n">
        <f aca="false">D46/C46</f>
        <v>0.0420189547770245</v>
      </c>
      <c r="F46" s="2" t="s">
        <v>112</v>
      </c>
      <c r="G46" s="1" t="s">
        <v>80</v>
      </c>
    </row>
    <row r="47" customFormat="false" ht="15.75" hidden="false" customHeight="false" outlineLevel="0" collapsed="false">
      <c r="B47" s="1" t="n">
        <v>200</v>
      </c>
      <c r="C47" s="5" t="n">
        <v>700</v>
      </c>
      <c r="D47" s="26" t="n">
        <f aca="false">SQRT((0.5*B47/5)^2 + ($F$7)^2 + (C47*$H$7)^2)</f>
        <v>29.0043100245464</v>
      </c>
      <c r="E47" s="10" t="n">
        <f aca="false">D47/C47</f>
        <v>0.0414347286064948</v>
      </c>
      <c r="F47" s="2" t="s">
        <v>113</v>
      </c>
      <c r="G47" s="1" t="s">
        <v>114</v>
      </c>
    </row>
    <row r="48" customFormat="false" ht="15.75" hidden="false" customHeight="false" outlineLevel="0" collapsed="false">
      <c r="B48" s="1" t="n">
        <v>200</v>
      </c>
      <c r="C48" s="5" t="n">
        <v>720</v>
      </c>
      <c r="D48" s="26" t="n">
        <f aca="false">SQRT((0.5*B48/5)^2 + ($F$7)^2 + (C48*$H$7)^2)</f>
        <v>29.4416371827383</v>
      </c>
      <c r="E48" s="10" t="n">
        <f aca="false">D48/C48</f>
        <v>0.0408911627538032</v>
      </c>
      <c r="F48" s="2" t="s">
        <v>115</v>
      </c>
      <c r="G48" s="1" t="s">
        <v>114</v>
      </c>
    </row>
    <row r="49" customFormat="false" ht="15.75" hidden="false" customHeight="false" outlineLevel="0" collapsed="false">
      <c r="B49" s="1" t="n">
        <v>200</v>
      </c>
      <c r="C49" s="5" t="n">
        <v>740</v>
      </c>
      <c r="D49" s="26" t="n">
        <f aca="false">SQRT((0.5*B49/5)^2 + ($F$7)^2 + (C49*$H$7)^2)</f>
        <v>29.8846114246112</v>
      </c>
      <c r="E49" s="10" t="n">
        <f aca="false">D49/C49</f>
        <v>0.0403846100332583</v>
      </c>
      <c r="F49" s="2" t="s">
        <v>116</v>
      </c>
      <c r="G49" s="1" t="s">
        <v>114</v>
      </c>
    </row>
    <row r="50" customFormat="false" ht="15.75" hidden="false" customHeight="false" outlineLevel="0" collapsed="false">
      <c r="B50" s="1" t="n">
        <v>200</v>
      </c>
      <c r="C50" s="5" t="n">
        <v>760</v>
      </c>
      <c r="D50" s="26" t="n">
        <f aca="false">SQRT((0.5*B50/5)^2 + ($F$7)^2 + (C50*$H$7)^2)</f>
        <v>30.3329853459893</v>
      </c>
      <c r="E50" s="10" t="n">
        <f aca="false">D50/C50</f>
        <v>0.0399118228236701</v>
      </c>
      <c r="F50" s="2" t="s">
        <v>117</v>
      </c>
      <c r="G50" s="1" t="s">
        <v>114</v>
      </c>
    </row>
    <row r="51" customFormat="false" ht="15.75" hidden="false" customHeight="false" outlineLevel="0" collapsed="false">
      <c r="D51" s="6"/>
      <c r="E51" s="6"/>
    </row>
  </sheetData>
  <mergeCells count="1"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9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E69" activeCellId="0" sqref="E69"/>
    </sheetView>
  </sheetViews>
  <sheetFormatPr defaultColWidth="10.55078125" defaultRowHeight="15.75" zeroHeight="false" outlineLevelRow="0" outlineLevelCol="0"/>
  <cols>
    <col collapsed="false" customWidth="true" hidden="false" outlineLevel="0" max="3" min="3" style="0" width="12.16"/>
    <col collapsed="false" customWidth="true" hidden="false" outlineLevel="0" max="4" min="4" style="27" width="10.16"/>
  </cols>
  <sheetData>
    <row r="2" customFormat="false" ht="15.75" hidden="false" customHeight="false" outlineLevel="0" collapsed="false">
      <c r="E2" s="28" t="s">
        <v>73</v>
      </c>
    </row>
    <row r="3" customFormat="false" ht="15.75" hidden="false" customHeight="false" outlineLevel="0" collapsed="false">
      <c r="B3" s="0" t="s">
        <v>35</v>
      </c>
      <c r="C3" s="0" t="s">
        <v>36</v>
      </c>
      <c r="D3" s="29" t="s">
        <v>37</v>
      </c>
      <c r="E3" s="28" t="s">
        <v>78</v>
      </c>
    </row>
    <row r="4" customFormat="false" ht="15.75" hidden="false" customHeight="false" outlineLevel="0" collapsed="false">
      <c r="B4" s="0" t="s">
        <v>39</v>
      </c>
      <c r="C4" s="0" t="n">
        <v>20</v>
      </c>
      <c r="D4" s="27" t="s">
        <v>79</v>
      </c>
      <c r="E4" s="28" t="s">
        <v>80</v>
      </c>
    </row>
    <row r="5" customFormat="false" ht="15.75" hidden="false" customHeight="false" outlineLevel="0" collapsed="false">
      <c r="B5" s="0" t="s">
        <v>39</v>
      </c>
      <c r="C5" s="0" t="n">
        <v>25</v>
      </c>
      <c r="D5" s="27" t="s">
        <v>79</v>
      </c>
      <c r="E5" s="28" t="s">
        <v>80</v>
      </c>
    </row>
    <row r="6" customFormat="false" ht="15.75" hidden="false" customHeight="false" outlineLevel="0" collapsed="false">
      <c r="B6" s="0" t="s">
        <v>45</v>
      </c>
      <c r="C6" s="0" t="n">
        <v>35</v>
      </c>
      <c r="D6" s="27" t="s">
        <v>81</v>
      </c>
      <c r="E6" s="28" t="s">
        <v>80</v>
      </c>
    </row>
    <row r="7" customFormat="false" ht="15.75" hidden="false" customHeight="false" outlineLevel="0" collapsed="false">
      <c r="B7" s="0" t="s">
        <v>45</v>
      </c>
      <c r="C7" s="0" t="n">
        <v>45</v>
      </c>
      <c r="D7" s="27" t="s">
        <v>82</v>
      </c>
      <c r="E7" s="28" t="s">
        <v>80</v>
      </c>
    </row>
    <row r="8" customFormat="false" ht="15.75" hidden="false" customHeight="false" outlineLevel="0" collapsed="false">
      <c r="B8" s="0" t="s">
        <v>45</v>
      </c>
      <c r="C8" s="0" t="n">
        <v>54</v>
      </c>
      <c r="D8" s="27" t="s">
        <v>83</v>
      </c>
      <c r="E8" s="28" t="s">
        <v>80</v>
      </c>
    </row>
    <row r="9" customFormat="false" ht="15.75" hidden="false" customHeight="false" outlineLevel="0" collapsed="false">
      <c r="B9" s="0" t="s">
        <v>45</v>
      </c>
      <c r="C9" s="0" t="n">
        <v>59</v>
      </c>
      <c r="D9" s="27" t="s">
        <v>84</v>
      </c>
      <c r="E9" s="28" t="s">
        <v>80</v>
      </c>
    </row>
    <row r="10" customFormat="false" ht="15.75" hidden="false" customHeight="false" outlineLevel="0" collapsed="false">
      <c r="B10" s="0" t="s">
        <v>45</v>
      </c>
      <c r="C10" s="0" t="n">
        <v>65</v>
      </c>
      <c r="D10" s="27" t="s">
        <v>118</v>
      </c>
      <c r="E10" s="28" t="s">
        <v>80</v>
      </c>
    </row>
    <row r="11" customFormat="false" ht="15.75" hidden="false" customHeight="false" outlineLevel="0" collapsed="false">
      <c r="B11" s="0" t="s">
        <v>49</v>
      </c>
      <c r="C11" s="0" t="n">
        <v>70</v>
      </c>
      <c r="D11" s="27" t="s">
        <v>85</v>
      </c>
      <c r="E11" s="28" t="s">
        <v>80</v>
      </c>
    </row>
    <row r="12" customFormat="false" ht="15.75" hidden="false" customHeight="false" outlineLevel="0" collapsed="false">
      <c r="B12" s="0" t="s">
        <v>49</v>
      </c>
      <c r="C12" s="0" t="n">
        <v>72</v>
      </c>
      <c r="D12" s="27" t="s">
        <v>119</v>
      </c>
      <c r="E12" s="28" t="s">
        <v>80</v>
      </c>
    </row>
    <row r="13" customFormat="false" ht="15.75" hidden="false" customHeight="false" outlineLevel="0" collapsed="false">
      <c r="B13" s="0" t="s">
        <v>49</v>
      </c>
      <c r="C13" s="0" t="n">
        <v>76</v>
      </c>
      <c r="D13" s="27" t="s">
        <v>120</v>
      </c>
      <c r="E13" s="28" t="s">
        <v>80</v>
      </c>
    </row>
    <row r="14" customFormat="false" ht="15.75" hidden="false" customHeight="false" outlineLevel="0" collapsed="false">
      <c r="B14" s="0" t="s">
        <v>49</v>
      </c>
      <c r="C14" s="0" t="n">
        <v>80</v>
      </c>
      <c r="D14" s="27" t="s">
        <v>121</v>
      </c>
      <c r="E14" s="28" t="s">
        <v>80</v>
      </c>
    </row>
    <row r="15" customFormat="false" ht="15.75" hidden="false" customHeight="false" outlineLevel="0" collapsed="false">
      <c r="B15" s="0" t="s">
        <v>49</v>
      </c>
      <c r="C15" s="0" t="n">
        <v>84</v>
      </c>
      <c r="D15" s="27" t="s">
        <v>122</v>
      </c>
      <c r="E15" s="28" t="s">
        <v>80</v>
      </c>
    </row>
    <row r="16" customFormat="false" ht="15.75" hidden="false" customHeight="false" outlineLevel="0" collapsed="false">
      <c r="B16" s="0" t="s">
        <v>49</v>
      </c>
      <c r="C16" s="0" t="n">
        <v>88</v>
      </c>
      <c r="D16" s="27" t="s">
        <v>87</v>
      </c>
      <c r="E16" s="28" t="s">
        <v>80</v>
      </c>
    </row>
    <row r="17" customFormat="false" ht="15.75" hidden="false" customHeight="false" outlineLevel="0" collapsed="false">
      <c r="B17" s="0" t="s">
        <v>49</v>
      </c>
      <c r="C17" s="0" t="n">
        <v>92</v>
      </c>
      <c r="D17" s="27" t="s">
        <v>123</v>
      </c>
      <c r="E17" s="28" t="s">
        <v>80</v>
      </c>
    </row>
    <row r="18" customFormat="false" ht="15.75" hidden="false" customHeight="false" outlineLevel="0" collapsed="false">
      <c r="B18" s="0" t="s">
        <v>49</v>
      </c>
      <c r="C18" s="0" t="n">
        <v>96</v>
      </c>
      <c r="D18" s="27" t="s">
        <v>124</v>
      </c>
      <c r="E18" s="28" t="s">
        <v>80</v>
      </c>
    </row>
    <row r="19" customFormat="false" ht="15.75" hidden="false" customHeight="false" outlineLevel="0" collapsed="false">
      <c r="B19" s="0" t="s">
        <v>49</v>
      </c>
      <c r="C19" s="0" t="n">
        <v>100</v>
      </c>
      <c r="D19" s="27" t="s">
        <v>89</v>
      </c>
      <c r="E19" s="28" t="s">
        <v>80</v>
      </c>
    </row>
    <row r="20" customFormat="false" ht="15.75" hidden="false" customHeight="false" outlineLevel="0" collapsed="false">
      <c r="B20" s="0" t="s">
        <v>49</v>
      </c>
      <c r="C20" s="0" t="n">
        <v>104</v>
      </c>
      <c r="D20" s="27" t="s">
        <v>125</v>
      </c>
      <c r="E20" s="28" t="s">
        <v>80</v>
      </c>
    </row>
    <row r="21" customFormat="false" ht="15.75" hidden="false" customHeight="false" outlineLevel="0" collapsed="false">
      <c r="B21" s="0" t="s">
        <v>49</v>
      </c>
      <c r="C21" s="0" t="n">
        <v>108</v>
      </c>
      <c r="D21" s="27" t="s">
        <v>90</v>
      </c>
      <c r="E21" s="28" t="s">
        <v>80</v>
      </c>
    </row>
    <row r="22" customFormat="false" ht="15.75" hidden="false" customHeight="false" outlineLevel="0" collapsed="false">
      <c r="B22" s="0" t="s">
        <v>49</v>
      </c>
      <c r="C22" s="0" t="n">
        <v>112</v>
      </c>
      <c r="D22" s="27" t="s">
        <v>126</v>
      </c>
      <c r="E22" s="28" t="s">
        <v>80</v>
      </c>
    </row>
    <row r="23" customFormat="false" ht="15.75" hidden="false" customHeight="false" outlineLevel="0" collapsed="false">
      <c r="B23" s="0" t="s">
        <v>49</v>
      </c>
      <c r="C23" s="0" t="n">
        <v>116</v>
      </c>
      <c r="D23" s="27" t="s">
        <v>127</v>
      </c>
      <c r="E23" s="28" t="s">
        <v>80</v>
      </c>
    </row>
    <row r="24" customFormat="false" ht="15.75" hidden="false" customHeight="false" outlineLevel="0" collapsed="false">
      <c r="B24" s="0" t="s">
        <v>49</v>
      </c>
      <c r="C24" s="0" t="n">
        <v>120</v>
      </c>
      <c r="D24" s="27" t="s">
        <v>128</v>
      </c>
      <c r="E24" s="28" t="s">
        <v>80</v>
      </c>
    </row>
    <row r="25" customFormat="false" ht="15.75" hidden="false" customHeight="false" outlineLevel="0" collapsed="false">
      <c r="B25" s="0" t="s">
        <v>49</v>
      </c>
      <c r="C25" s="0" t="n">
        <v>124</v>
      </c>
      <c r="D25" s="27" t="s">
        <v>129</v>
      </c>
      <c r="E25" s="28" t="s">
        <v>80</v>
      </c>
    </row>
    <row r="26" customFormat="false" ht="15.75" hidden="false" customHeight="false" outlineLevel="0" collapsed="false">
      <c r="B26" s="0" t="s">
        <v>49</v>
      </c>
      <c r="C26" s="0" t="n">
        <v>128</v>
      </c>
      <c r="D26" s="27" t="s">
        <v>130</v>
      </c>
      <c r="E26" s="28" t="s">
        <v>80</v>
      </c>
    </row>
    <row r="27" customFormat="false" ht="15.75" hidden="false" customHeight="false" outlineLevel="0" collapsed="false">
      <c r="B27" s="0" t="s">
        <v>131</v>
      </c>
      <c r="C27" s="0" t="n">
        <v>130</v>
      </c>
      <c r="D27" s="27" t="s">
        <v>132</v>
      </c>
      <c r="E27" s="28" t="s">
        <v>80</v>
      </c>
    </row>
    <row r="28" customFormat="false" ht="15.75" hidden="false" customHeight="false" outlineLevel="0" collapsed="false">
      <c r="B28" s="0" t="s">
        <v>131</v>
      </c>
      <c r="C28" s="0" t="n">
        <v>135</v>
      </c>
      <c r="D28" s="27" t="s">
        <v>133</v>
      </c>
      <c r="E28" s="28" t="s">
        <v>80</v>
      </c>
    </row>
    <row r="29" customFormat="false" ht="15.75" hidden="false" customHeight="false" outlineLevel="0" collapsed="false">
      <c r="B29" s="0" t="s">
        <v>131</v>
      </c>
      <c r="C29" s="0" t="n">
        <v>140</v>
      </c>
      <c r="D29" s="27" t="s">
        <v>134</v>
      </c>
      <c r="E29" s="28" t="s">
        <v>80</v>
      </c>
    </row>
    <row r="30" customFormat="false" ht="15.75" hidden="false" customHeight="false" outlineLevel="0" collapsed="false">
      <c r="B30" s="0" t="s">
        <v>131</v>
      </c>
      <c r="C30" s="0" t="n">
        <v>145</v>
      </c>
      <c r="D30" s="27" t="s">
        <v>135</v>
      </c>
      <c r="E30" s="28" t="s">
        <v>80</v>
      </c>
    </row>
    <row r="31" customFormat="false" ht="15.75" hidden="false" customHeight="false" outlineLevel="0" collapsed="false">
      <c r="B31" s="0" t="s">
        <v>131</v>
      </c>
      <c r="C31" s="0" t="n">
        <v>150</v>
      </c>
      <c r="D31" s="27" t="s">
        <v>96</v>
      </c>
      <c r="E31" s="28" t="s">
        <v>80</v>
      </c>
    </row>
    <row r="32" customFormat="false" ht="15.75" hidden="false" customHeight="false" outlineLevel="0" collapsed="false">
      <c r="B32" s="0" t="s">
        <v>131</v>
      </c>
      <c r="C32" s="0" t="n">
        <v>155</v>
      </c>
      <c r="D32" s="27" t="s">
        <v>136</v>
      </c>
      <c r="E32" s="28" t="s">
        <v>80</v>
      </c>
    </row>
    <row r="33" customFormat="false" ht="15.75" hidden="false" customHeight="false" outlineLevel="0" collapsed="false">
      <c r="B33" s="0" t="s">
        <v>131</v>
      </c>
      <c r="C33" s="0" t="n">
        <v>160</v>
      </c>
      <c r="D33" s="27" t="s">
        <v>97</v>
      </c>
      <c r="E33" s="28" t="s">
        <v>80</v>
      </c>
    </row>
    <row r="34" customFormat="false" ht="15.75" hidden="false" customHeight="false" outlineLevel="0" collapsed="false">
      <c r="B34" s="0" t="s">
        <v>131</v>
      </c>
      <c r="C34" s="0" t="n">
        <v>165</v>
      </c>
      <c r="D34" s="27" t="s">
        <v>137</v>
      </c>
      <c r="E34" s="28" t="s">
        <v>80</v>
      </c>
    </row>
    <row r="35" customFormat="false" ht="15.75" hidden="false" customHeight="false" outlineLevel="0" collapsed="false">
      <c r="B35" s="0" t="s">
        <v>131</v>
      </c>
      <c r="C35" s="0" t="n">
        <v>170</v>
      </c>
      <c r="D35" s="27" t="s">
        <v>138</v>
      </c>
      <c r="E35" s="28" t="s">
        <v>80</v>
      </c>
    </row>
    <row r="36" customFormat="false" ht="15.75" hidden="false" customHeight="false" outlineLevel="0" collapsed="false">
      <c r="B36" s="0" t="s">
        <v>131</v>
      </c>
      <c r="C36" s="0" t="n">
        <v>175</v>
      </c>
      <c r="D36" s="27" t="s">
        <v>139</v>
      </c>
      <c r="E36" s="28" t="s">
        <v>80</v>
      </c>
    </row>
    <row r="37" customFormat="false" ht="15.75" hidden="false" customHeight="false" outlineLevel="0" collapsed="false">
      <c r="B37" s="0" t="s">
        <v>131</v>
      </c>
      <c r="C37" s="0" t="n">
        <v>180</v>
      </c>
      <c r="D37" s="27" t="s">
        <v>140</v>
      </c>
      <c r="E37" s="28" t="s">
        <v>80</v>
      </c>
    </row>
    <row r="38" customFormat="false" ht="15.75" hidden="false" customHeight="false" outlineLevel="0" collapsed="false">
      <c r="B38" s="0" t="s">
        <v>131</v>
      </c>
      <c r="C38" s="0" t="n">
        <v>185</v>
      </c>
      <c r="D38" s="27" t="s">
        <v>141</v>
      </c>
      <c r="E38" s="28" t="s">
        <v>80</v>
      </c>
    </row>
    <row r="39" customFormat="false" ht="15.75" hidden="false" customHeight="false" outlineLevel="0" collapsed="false">
      <c r="B39" s="0" t="s">
        <v>131</v>
      </c>
      <c r="C39" s="0" t="n">
        <v>190</v>
      </c>
      <c r="D39" s="27" t="s">
        <v>142</v>
      </c>
      <c r="E39" s="28" t="s">
        <v>80</v>
      </c>
    </row>
    <row r="40" customFormat="false" ht="15.75" hidden="false" customHeight="false" outlineLevel="0" collapsed="false">
      <c r="B40" s="0" t="s">
        <v>131</v>
      </c>
      <c r="C40" s="0" t="n">
        <v>195</v>
      </c>
      <c r="D40" s="27" t="s">
        <v>143</v>
      </c>
      <c r="E40" s="28" t="s">
        <v>80</v>
      </c>
    </row>
    <row r="41" customFormat="false" ht="15.75" hidden="false" customHeight="false" outlineLevel="0" collapsed="false">
      <c r="B41" s="0" t="s">
        <v>131</v>
      </c>
      <c r="C41" s="0" t="n">
        <v>200</v>
      </c>
      <c r="D41" s="27" t="s">
        <v>144</v>
      </c>
      <c r="E41" s="28" t="s">
        <v>80</v>
      </c>
    </row>
    <row r="42" customFormat="false" ht="15.75" hidden="false" customHeight="false" outlineLevel="0" collapsed="false">
      <c r="B42" s="0" t="s">
        <v>131</v>
      </c>
      <c r="C42" s="0" t="n">
        <v>205</v>
      </c>
      <c r="D42" s="27" t="s">
        <v>145</v>
      </c>
      <c r="E42" s="28" t="s">
        <v>80</v>
      </c>
    </row>
    <row r="43" customFormat="false" ht="15.75" hidden="false" customHeight="false" outlineLevel="0" collapsed="false">
      <c r="B43" s="0" t="s">
        <v>131</v>
      </c>
      <c r="C43" s="0" t="n">
        <v>210</v>
      </c>
      <c r="D43" s="27" t="s">
        <v>146</v>
      </c>
      <c r="E43" s="28" t="s">
        <v>80</v>
      </c>
    </row>
    <row r="44" customFormat="false" ht="15.75" hidden="false" customHeight="false" outlineLevel="0" collapsed="false">
      <c r="B44" s="0" t="s">
        <v>131</v>
      </c>
      <c r="C44" s="0" t="n">
        <v>215</v>
      </c>
      <c r="D44" s="27" t="s">
        <v>147</v>
      </c>
      <c r="E44" s="28" t="s">
        <v>80</v>
      </c>
    </row>
    <row r="45" customFormat="false" ht="15.75" hidden="false" customHeight="false" outlineLevel="0" collapsed="false">
      <c r="B45" s="0" t="s">
        <v>131</v>
      </c>
      <c r="C45" s="0" t="n">
        <v>220</v>
      </c>
      <c r="D45" s="27" t="s">
        <v>148</v>
      </c>
      <c r="E45" s="28" t="s">
        <v>80</v>
      </c>
    </row>
    <row r="46" customFormat="false" ht="15.75" hidden="false" customHeight="false" outlineLevel="0" collapsed="false">
      <c r="B46" s="0" t="s">
        <v>131</v>
      </c>
      <c r="C46" s="0" t="n">
        <v>225</v>
      </c>
      <c r="D46" s="27" t="s">
        <v>149</v>
      </c>
      <c r="E46" s="28" t="s">
        <v>80</v>
      </c>
    </row>
    <row r="47" customFormat="false" ht="15.75" hidden="false" customHeight="false" outlineLevel="0" collapsed="false">
      <c r="B47" s="0" t="s">
        <v>131</v>
      </c>
      <c r="C47" s="0" t="n">
        <v>230</v>
      </c>
      <c r="D47" s="27" t="s">
        <v>150</v>
      </c>
      <c r="E47" s="28" t="s">
        <v>80</v>
      </c>
    </row>
    <row r="48" customFormat="false" ht="15.75" hidden="false" customHeight="false" outlineLevel="0" collapsed="false">
      <c r="B48" s="0" t="s">
        <v>131</v>
      </c>
      <c r="C48" s="0" t="n">
        <v>235</v>
      </c>
      <c r="D48" s="27" t="s">
        <v>151</v>
      </c>
      <c r="E48" s="28" t="s">
        <v>80</v>
      </c>
    </row>
    <row r="49" customFormat="false" ht="15.75" hidden="false" customHeight="false" outlineLevel="0" collapsed="false">
      <c r="B49" s="0" t="s">
        <v>131</v>
      </c>
      <c r="C49" s="0" t="n">
        <v>240</v>
      </c>
      <c r="D49" s="27" t="s">
        <v>152</v>
      </c>
      <c r="E49" s="28" t="s">
        <v>80</v>
      </c>
    </row>
    <row r="50" customFormat="false" ht="15.75" hidden="false" customHeight="false" outlineLevel="0" collapsed="false">
      <c r="B50" s="0" t="s">
        <v>131</v>
      </c>
      <c r="C50" s="0" t="n">
        <v>245</v>
      </c>
      <c r="D50" s="27" t="s">
        <v>153</v>
      </c>
      <c r="E50" s="28" t="s">
        <v>80</v>
      </c>
    </row>
    <row r="51" customFormat="false" ht="15.75" hidden="false" customHeight="false" outlineLevel="0" collapsed="false">
      <c r="B51" s="0" t="s">
        <v>131</v>
      </c>
      <c r="C51" s="0" t="n">
        <v>250</v>
      </c>
      <c r="D51" s="27" t="s">
        <v>154</v>
      </c>
      <c r="E51" s="28" t="s">
        <v>80</v>
      </c>
    </row>
    <row r="52" customFormat="false" ht="15.75" hidden="false" customHeight="false" outlineLevel="0" collapsed="false">
      <c r="B52" s="0" t="s">
        <v>131</v>
      </c>
      <c r="C52" s="0" t="n">
        <v>255</v>
      </c>
      <c r="D52" s="27" t="s">
        <v>155</v>
      </c>
      <c r="E52" s="28" t="s">
        <v>80</v>
      </c>
    </row>
    <row r="53" customFormat="false" ht="15.75" hidden="false" customHeight="false" outlineLevel="0" collapsed="false">
      <c r="B53" s="0" t="s">
        <v>131</v>
      </c>
      <c r="C53" s="0" t="n">
        <v>260</v>
      </c>
      <c r="D53" s="27" t="s">
        <v>156</v>
      </c>
      <c r="E53" s="28" t="s">
        <v>80</v>
      </c>
    </row>
    <row r="54" customFormat="false" ht="15.75" hidden="false" customHeight="false" outlineLevel="0" collapsed="false">
      <c r="B54" s="0" t="s">
        <v>131</v>
      </c>
      <c r="C54" s="0" t="n">
        <v>265</v>
      </c>
      <c r="D54" s="27" t="s">
        <v>157</v>
      </c>
      <c r="E54" s="28" t="s">
        <v>80</v>
      </c>
    </row>
    <row r="55" customFormat="false" ht="15.75" hidden="false" customHeight="false" outlineLevel="0" collapsed="false">
      <c r="B55" s="0" t="s">
        <v>131</v>
      </c>
      <c r="C55" s="0" t="n">
        <v>270</v>
      </c>
      <c r="D55" s="27" t="s">
        <v>158</v>
      </c>
      <c r="E55" s="28" t="s">
        <v>80</v>
      </c>
    </row>
    <row r="56" customFormat="false" ht="15.75" hidden="false" customHeight="false" outlineLevel="0" collapsed="false">
      <c r="B56" s="0" t="s">
        <v>131</v>
      </c>
      <c r="C56" s="0" t="n">
        <v>275</v>
      </c>
      <c r="D56" s="27" t="s">
        <v>159</v>
      </c>
      <c r="E56" s="28" t="s">
        <v>80</v>
      </c>
    </row>
    <row r="57" customFormat="false" ht="15.75" hidden="false" customHeight="false" outlineLevel="0" collapsed="false">
      <c r="B57" s="0" t="s">
        <v>131</v>
      </c>
      <c r="C57" s="0" t="n">
        <v>280</v>
      </c>
      <c r="D57" s="27" t="s">
        <v>160</v>
      </c>
      <c r="E57" s="28" t="s">
        <v>80</v>
      </c>
    </row>
    <row r="58" customFormat="false" ht="15.75" hidden="false" customHeight="false" outlineLevel="0" collapsed="false">
      <c r="B58" s="0" t="s">
        <v>131</v>
      </c>
      <c r="C58" s="0" t="n">
        <v>285</v>
      </c>
      <c r="D58" s="27" t="s">
        <v>161</v>
      </c>
      <c r="E58" s="28" t="s">
        <v>80</v>
      </c>
    </row>
    <row r="59" customFormat="false" ht="15.75" hidden="false" customHeight="false" outlineLevel="0" collapsed="false">
      <c r="B59" s="0" t="s">
        <v>131</v>
      </c>
      <c r="C59" s="0" t="n">
        <v>290</v>
      </c>
      <c r="D59" s="27" t="s">
        <v>162</v>
      </c>
      <c r="E59" s="28" t="s">
        <v>80</v>
      </c>
    </row>
    <row r="60" customFormat="false" ht="15.75" hidden="false" customHeight="false" outlineLevel="0" collapsed="false">
      <c r="B60" s="0" t="s">
        <v>131</v>
      </c>
      <c r="C60" s="0" t="n">
        <v>295</v>
      </c>
      <c r="D60" s="27" t="s">
        <v>163</v>
      </c>
      <c r="E60" s="28" t="s">
        <v>80</v>
      </c>
    </row>
    <row r="61" customFormat="false" ht="15.75" hidden="false" customHeight="false" outlineLevel="0" collapsed="false">
      <c r="B61" s="0" t="s">
        <v>131</v>
      </c>
      <c r="C61" s="0" t="n">
        <v>300</v>
      </c>
      <c r="D61" s="27" t="s">
        <v>164</v>
      </c>
      <c r="E61" s="28" t="s">
        <v>80</v>
      </c>
    </row>
    <row r="62" customFormat="false" ht="15.75" hidden="false" customHeight="false" outlineLevel="0" collapsed="false">
      <c r="B62" s="0" t="s">
        <v>131</v>
      </c>
      <c r="C62" s="0" t="n">
        <v>305</v>
      </c>
      <c r="D62" s="27" t="s">
        <v>165</v>
      </c>
      <c r="E62" s="28" t="s">
        <v>80</v>
      </c>
    </row>
    <row r="63" customFormat="false" ht="15.75" hidden="false" customHeight="false" outlineLevel="0" collapsed="false">
      <c r="B63" s="0" t="s">
        <v>131</v>
      </c>
      <c r="C63" s="0" t="n">
        <v>310</v>
      </c>
      <c r="D63" s="27" t="s">
        <v>166</v>
      </c>
      <c r="E63" s="28" t="s">
        <v>80</v>
      </c>
    </row>
    <row r="64" customFormat="false" ht="15.75" hidden="false" customHeight="false" outlineLevel="0" collapsed="false">
      <c r="B64" s="0" t="s">
        <v>131</v>
      </c>
      <c r="C64" s="0" t="n">
        <v>315</v>
      </c>
      <c r="D64" s="27" t="s">
        <v>167</v>
      </c>
      <c r="E64" s="28" t="s">
        <v>80</v>
      </c>
    </row>
    <row r="65" customFormat="false" ht="15.75" hidden="false" customHeight="false" outlineLevel="0" collapsed="false">
      <c r="B65" s="0" t="s">
        <v>131</v>
      </c>
      <c r="C65" s="0" t="n">
        <v>320</v>
      </c>
      <c r="D65" s="27" t="s">
        <v>168</v>
      </c>
      <c r="E65" s="28" t="s">
        <v>80</v>
      </c>
    </row>
    <row r="66" customFormat="false" ht="15.75" hidden="false" customHeight="false" outlineLevel="0" collapsed="false">
      <c r="B66" s="0" t="s">
        <v>131</v>
      </c>
      <c r="C66" s="0" t="n">
        <v>325</v>
      </c>
      <c r="D66" s="27" t="s">
        <v>169</v>
      </c>
      <c r="E66" s="28" t="s">
        <v>80</v>
      </c>
    </row>
    <row r="67" customFormat="false" ht="15.75" hidden="false" customHeight="false" outlineLevel="0" collapsed="false">
      <c r="B67" s="0" t="s">
        <v>131</v>
      </c>
      <c r="C67" s="30" t="n">
        <v>330</v>
      </c>
      <c r="D67" s="27" t="s">
        <v>170</v>
      </c>
      <c r="E67" s="28" t="s">
        <v>80</v>
      </c>
    </row>
    <row r="68" customFormat="false" ht="15.75" hidden="false" customHeight="false" outlineLevel="0" collapsed="false">
      <c r="B68" s="0" t="s">
        <v>171</v>
      </c>
      <c r="C68" s="0" t="n">
        <v>340</v>
      </c>
      <c r="D68" s="27" t="s">
        <v>172</v>
      </c>
      <c r="E68" s="28" t="s">
        <v>80</v>
      </c>
    </row>
    <row r="69" customFormat="false" ht="15.75" hidden="false" customHeight="false" outlineLevel="0" collapsed="false">
      <c r="E69" s="28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2025-11-20T13:42:38Z</dcterms:created>
  <dc:creator>Francesco Caprara</dc:creator>
  <dc:description/>
  <dc:language>en-US</dc:language>
  <cp:lastModifiedBy/>
  <dcterms:modified xsi:type="dcterms:W3CDTF">2025-11-21T15:01:43Z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